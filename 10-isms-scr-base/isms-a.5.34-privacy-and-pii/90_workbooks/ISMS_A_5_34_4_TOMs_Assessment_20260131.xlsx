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structions" sheetId="1" state="visible" r:id="rId1"/>
    <sheet xmlns:r="http://schemas.openxmlformats.org/officeDocument/2006/relationships" name="2. TOM Control Inventory" sheetId="2" state="visible" r:id="rId2"/>
    <sheet xmlns:r="http://schemas.openxmlformats.org/officeDocument/2006/relationships" name="3. Technical Measures Detail" sheetId="3" state="visible" r:id="rId3"/>
    <sheet xmlns:r="http://schemas.openxmlformats.org/officeDocument/2006/relationships" name="4. Organizational Measures Detail" sheetId="4" state="visible" r:id="rId4"/>
    <sheet xmlns:r="http://schemas.openxmlformats.org/officeDocument/2006/relationships" name="5. Evidence Repository" sheetId="5" state="visible" r:id="rId5"/>
    <sheet xmlns:r="http://schemas.openxmlformats.org/officeDocument/2006/relationships" name="6. Gap Analysis &amp; Risk" sheetId="6" state="visible" r:id="rId6"/>
    <sheet xmlns:r="http://schemas.openxmlformats.org/officeDocument/2006/relationships" name="7. Remediation Action Plan" sheetId="7" state="visible" r:id="rId7"/>
    <sheet xmlns:r="http://schemas.openxmlformats.org/officeDocument/2006/relationships" name="8. Compliance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  <color rgb="00003366"/>
      <sz val="11"/>
    </font>
    <font>
      <b val="1"/>
    </font>
    <font>
      <b val="1"/>
      <color rgb="00003366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DCE4"/>
        <bgColor rgb="00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D966"/>
          <bgColor rgb="00FFD966"/>
        </patternFill>
      </fill>
    </dxf>
    <dxf>
      <font>
        <b val="1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ISMS-IMP-A.5.34.4 - Technical and Organizational Measures (TOMs) Assessment</t>
        </is>
      </c>
    </row>
    <row r="3">
      <c r="A3" s="2" t="inlineStr">
        <is>
          <t>This workbook assesses 20 TOMs protecting PII per GDPR Art. 32, Swiss FADP Art. 8, ISO 27001 A.5.34</t>
        </is>
      </c>
    </row>
    <row r="4"/>
    <row r="5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mergeCells count="2">
    <mergeCell ref="A1:E1"/>
    <mergeCell ref="A3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0" customWidth="1" min="4" max="4"/>
    <col width="15" customWidth="1" min="5" max="5"/>
    <col width="80" customWidth="1" min="6" max="6"/>
    <col width="20" customWidth="1" min="7" max="7"/>
    <col width="20" customWidth="1" min="8" max="8"/>
    <col width="15" customWidth="1" min="9" max="9"/>
    <col width="60" customWidth="1" min="10" max="10"/>
    <col width="15" customWidth="1" min="11" max="11"/>
    <col width="60" customWidth="1" min="12" max="12"/>
    <col width="25" customWidth="1" min="13" max="13"/>
    <col width="15" customWidth="1" min="14" max="14"/>
  </cols>
  <sheetData>
    <row r="1">
      <c r="A1" s="3" t="inlineStr">
        <is>
          <t>TOM ID</t>
        </is>
      </c>
      <c r="B1" s="3" t="inlineStr">
        <is>
          <t>TOM Category</t>
        </is>
      </c>
      <c r="C1" s="3" t="inlineStr">
        <is>
          <t>TOM Type</t>
        </is>
      </c>
      <c r="D1" s="3" t="inlineStr">
        <is>
          <t>Implementation Status</t>
        </is>
      </c>
      <c r="E1" s="3" t="inlineStr">
        <is>
          <t>Implementation Date</t>
        </is>
      </c>
      <c r="F1" s="3" t="inlineStr">
        <is>
          <t>Description of Implementation</t>
        </is>
      </c>
      <c r="G1" s="3" t="inlineStr">
        <is>
          <t>Evidence Reference</t>
        </is>
      </c>
      <c r="H1" s="3" t="inlineStr">
        <is>
          <t>Effectiveness Rating</t>
        </is>
      </c>
      <c r="I1" s="3" t="inlineStr">
        <is>
          <t>Last Test Date</t>
        </is>
      </c>
      <c r="J1" s="3" t="inlineStr">
        <is>
          <t>Gaps Identified</t>
        </is>
      </c>
      <c r="K1" s="3" t="inlineStr">
        <is>
          <t>Risk Level</t>
        </is>
      </c>
      <c r="L1" s="3" t="inlineStr">
        <is>
          <t>Remediation Plan</t>
        </is>
      </c>
      <c r="M1" s="3" t="inlineStr">
        <is>
          <t>Remediation Owner</t>
        </is>
      </c>
      <c r="N1" s="3" t="inlineStr">
        <is>
          <t>Target Completion Date</t>
        </is>
      </c>
    </row>
    <row r="2">
      <c r="A2" t="inlineStr">
        <is>
          <t>T1</t>
        </is>
      </c>
      <c r="B2" t="inlineStr">
        <is>
          <t>Encryption</t>
        </is>
      </c>
      <c r="C2" t="inlineStr">
        <is>
          <t>Technical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t="inlineStr">
        <is>
          <t>T2</t>
        </is>
      </c>
      <c r="B3" t="inlineStr">
        <is>
          <t>Access Control</t>
        </is>
      </c>
      <c r="C3" t="inlineStr">
        <is>
          <t>Technical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t="inlineStr">
        <is>
          <t>T3</t>
        </is>
      </c>
      <c r="B4" t="inlineStr">
        <is>
          <t>Pseudonymization/Anonymization</t>
        </is>
      </c>
      <c r="C4" t="inlineStr">
        <is>
          <t>Technical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t="inlineStr">
        <is>
          <t>T4</t>
        </is>
      </c>
      <c r="B5" t="inlineStr">
        <is>
          <t>Data Minimization</t>
        </is>
      </c>
      <c r="C5" t="inlineStr">
        <is>
          <t>Technical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t="inlineStr">
        <is>
          <t>T5</t>
        </is>
      </c>
      <c r="B6" t="inlineStr">
        <is>
          <t>Security Monitoring &amp; Logging</t>
        </is>
      </c>
      <c r="C6" t="inlineStr">
        <is>
          <t>Technical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t="inlineStr">
        <is>
          <t>T6</t>
        </is>
      </c>
      <c r="B7" t="inlineStr">
        <is>
          <t>Network Security</t>
        </is>
      </c>
      <c r="C7" t="inlineStr">
        <is>
          <t>Technical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t="inlineStr">
        <is>
          <t>T7</t>
        </is>
      </c>
      <c r="B8" t="inlineStr">
        <is>
          <t>Application Security</t>
        </is>
      </c>
      <c r="C8" t="inlineStr">
        <is>
          <t>Technical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t="inlineStr">
        <is>
          <t>T8</t>
        </is>
      </c>
      <c r="B9" t="inlineStr">
        <is>
          <t>Endpoint Security</t>
        </is>
      </c>
      <c r="C9" t="inlineStr">
        <is>
          <t>Technical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t="inlineStr">
        <is>
          <t>T9</t>
        </is>
      </c>
      <c r="B10" t="inlineStr">
        <is>
          <t>Backup &amp; Recovery</t>
        </is>
      </c>
      <c r="C10" t="inlineStr">
        <is>
          <t>Technical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t="inlineStr">
        <is>
          <t>T10</t>
        </is>
      </c>
      <c r="B11" t="inlineStr">
        <is>
          <t>Physical Security</t>
        </is>
      </c>
      <c r="C11" t="inlineStr">
        <is>
          <t>Technical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t="inlineStr">
        <is>
          <t>O1</t>
        </is>
      </c>
      <c r="B12" t="inlineStr">
        <is>
          <t>Policies &amp; Procedures</t>
        </is>
      </c>
      <c r="C12" t="inlineStr">
        <is>
          <t>Organizational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t="inlineStr">
        <is>
          <t>O2</t>
        </is>
      </c>
      <c r="B13" t="inlineStr">
        <is>
          <t>Staff Training &amp; Awareness</t>
        </is>
      </c>
      <c r="C13" t="inlineStr">
        <is>
          <t>Organizational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t="inlineStr">
        <is>
          <t>O3</t>
        </is>
      </c>
      <c r="B14" t="inlineStr">
        <is>
          <t>Incident Response &amp; Breach Notification</t>
        </is>
      </c>
      <c r="C14" t="inlineStr">
        <is>
          <t>Organizational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t="inlineStr">
        <is>
          <t>O4</t>
        </is>
      </c>
      <c r="B15" t="inlineStr">
        <is>
          <t>Vendor Management</t>
        </is>
      </c>
      <c r="C15" t="inlineStr">
        <is>
          <t>Organizational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t="inlineStr">
        <is>
          <t>O5</t>
        </is>
      </c>
      <c r="B16" t="inlineStr">
        <is>
          <t>Data Protection by Design/Default</t>
        </is>
      </c>
      <c r="C16" t="inlineStr">
        <is>
          <t>Organizational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t="inlineStr">
        <is>
          <t>O6</t>
        </is>
      </c>
      <c r="B17" t="inlineStr">
        <is>
          <t>Accountability &amp; Governance</t>
        </is>
      </c>
      <c r="C17" t="inlineStr">
        <is>
          <t>Organizational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t="inlineStr">
        <is>
          <t>O7</t>
        </is>
      </c>
      <c r="B18" t="inlineStr">
        <is>
          <t>Risk Management</t>
        </is>
      </c>
      <c r="C18" t="inlineStr">
        <is>
          <t>Organizational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t="inlineStr">
        <is>
          <t>O8</t>
        </is>
      </c>
      <c r="B19" t="inlineStr">
        <is>
          <t>Compliance Monitoring &amp; Audit</t>
        </is>
      </c>
      <c r="C19" t="inlineStr">
        <is>
          <t>Organizational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t="inlineStr">
        <is>
          <t>O9</t>
        </is>
      </c>
      <c r="B20" t="inlineStr">
        <is>
          <t>Documentation &amp; Records</t>
        </is>
      </c>
      <c r="C20" t="inlineStr">
        <is>
          <t>Organizational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t="inlineStr">
        <is>
          <t>O10</t>
        </is>
      </c>
      <c r="B21" t="inlineStr">
        <is>
          <t>Business Continuity</t>
        </is>
      </c>
      <c r="C21" t="inlineStr">
        <is>
          <t>Organizational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conditionalFormatting sqref="D2:D21">
    <cfRule type="cellIs" priority="1" operator="equal" dxfId="0">
      <formula>"Implemented"</formula>
    </cfRule>
    <cfRule type="cellIs" priority="2" operator="equal" dxfId="1">
      <formula>"Partially Implemented"</formula>
    </cfRule>
    <cfRule type="cellIs" priority="3" operator="equal" dxfId="2">
      <formula>"Not Implemented"</formula>
    </cfRule>
  </conditionalFormatting>
  <conditionalFormatting sqref="K2:K21">
    <cfRule type="cellIs" priority="4" operator="equal" dxfId="3">
      <formula>"Critical"</formula>
    </cfRule>
    <cfRule type="cellIs" priority="5" operator="equal" dxfId="4">
      <formula>"High"</formula>
    </cfRule>
  </conditionalFormatting>
  <dataValidations count="3">
    <dataValidation sqref="D2:D21" showDropDown="0" showInputMessage="0" showErrorMessage="0" allowBlank="1" type="list">
      <formula1>"Implemented,Partially Implemented,Planned,Not Implemented"</formula1>
    </dataValidation>
    <dataValidation sqref="H2:H21" showDropDown="0" showInputMessage="0" showErrorMessage="0" allowBlank="1" type="list">
      <formula1>"Effective,Partially Effective,Ineffective,Not Tested"</formula1>
    </dataValidation>
    <dataValidation sqref="K2:K21" showDropDown="0" showInputMessage="0" showErrorMessage="0" allowBlank="1" type="list">
      <formula1>"Critical,High,Medium,Low,N/A"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</cols>
  <sheetData>
    <row r="1">
      <c r="A1" s="5" t="inlineStr">
        <is>
          <t>TECHNICAL MEASURES DEEP-DIVE (T1-T10)</t>
        </is>
      </c>
    </row>
    <row r="3">
      <c r="A3" s="6" t="inlineStr">
        <is>
          <t>T1 - ENCRYPTION</t>
        </is>
      </c>
    </row>
    <row r="4">
      <c r="A4" s="7" t="inlineStr">
        <is>
          <t>Technologies Deployed:</t>
        </is>
      </c>
      <c r="B4" s="4" t="n"/>
      <c r="C4" s="4" t="n"/>
    </row>
    <row r="5">
      <c r="A5" s="7" t="inlineStr">
        <is>
          <t>Configuration Details:</t>
        </is>
      </c>
      <c r="B5" s="4" t="n"/>
      <c r="C5" s="4" t="n"/>
    </row>
    <row r="6">
      <c r="A6" s="7" t="inlineStr">
        <is>
          <t>Coverage (%):</t>
        </is>
      </c>
      <c r="B6" s="4" t="n"/>
      <c r="C6" s="4" t="n"/>
    </row>
    <row r="7">
      <c r="A7" s="7" t="inlineStr">
        <is>
          <t>Exceptions:</t>
        </is>
      </c>
      <c r="B7" s="4" t="n"/>
      <c r="C7" s="4" t="n"/>
    </row>
    <row r="8">
      <c r="A8" s="7" t="inlineStr">
        <is>
          <t>Integration Notes:</t>
        </is>
      </c>
      <c r="B8" s="4" t="n"/>
      <c r="C8" s="4" t="n"/>
    </row>
    <row r="10">
      <c r="A10" s="6" t="inlineStr">
        <is>
          <t>T2 - ACCESS CONTROL</t>
        </is>
      </c>
    </row>
    <row r="11">
      <c r="A11" s="7" t="inlineStr">
        <is>
          <t>Technologies Deployed:</t>
        </is>
      </c>
      <c r="B11" s="4" t="n"/>
      <c r="C11" s="4" t="n"/>
    </row>
    <row r="12">
      <c r="A12" s="7" t="inlineStr">
        <is>
          <t>Configuration Details:</t>
        </is>
      </c>
      <c r="B12" s="4" t="n"/>
      <c r="C12" s="4" t="n"/>
    </row>
    <row r="13">
      <c r="A13" s="7" t="inlineStr">
        <is>
          <t>Coverage (%):</t>
        </is>
      </c>
      <c r="B13" s="4" t="n"/>
      <c r="C13" s="4" t="n"/>
    </row>
    <row r="14">
      <c r="A14" s="7" t="inlineStr">
        <is>
          <t>Exceptions:</t>
        </is>
      </c>
      <c r="B14" s="4" t="n"/>
      <c r="C14" s="4" t="n"/>
    </row>
    <row r="15">
      <c r="A15" s="7" t="inlineStr">
        <is>
          <t>Integration Notes:</t>
        </is>
      </c>
      <c r="B15" s="4" t="n"/>
      <c r="C15" s="4" t="n"/>
    </row>
    <row r="17">
      <c r="A17" s="6" t="inlineStr">
        <is>
          <t>T3 - PSEUDONYMIZATION/ANONYMIZATION</t>
        </is>
      </c>
    </row>
    <row r="18">
      <c r="A18" s="7" t="inlineStr">
        <is>
          <t>Technologies Deployed:</t>
        </is>
      </c>
      <c r="B18" s="4" t="n"/>
      <c r="C18" s="4" t="n"/>
    </row>
    <row r="19">
      <c r="A19" s="7" t="inlineStr">
        <is>
          <t>Configuration Details:</t>
        </is>
      </c>
      <c r="B19" s="4" t="n"/>
      <c r="C19" s="4" t="n"/>
    </row>
    <row r="20">
      <c r="A20" s="7" t="inlineStr">
        <is>
          <t>Coverage (%):</t>
        </is>
      </c>
      <c r="B20" s="4" t="n"/>
      <c r="C20" s="4" t="n"/>
    </row>
    <row r="21">
      <c r="A21" s="7" t="inlineStr">
        <is>
          <t>Exceptions:</t>
        </is>
      </c>
      <c r="B21" s="4" t="n"/>
      <c r="C21" s="4" t="n"/>
    </row>
    <row r="22">
      <c r="A22" s="7" t="inlineStr">
        <is>
          <t>Integration Notes:</t>
        </is>
      </c>
      <c r="B22" s="4" t="n"/>
      <c r="C22" s="4" t="n"/>
    </row>
    <row r="24">
      <c r="A24" s="6" t="inlineStr">
        <is>
          <t>T4 - DATA MINIMIZATION</t>
        </is>
      </c>
    </row>
    <row r="25">
      <c r="A25" s="7" t="inlineStr">
        <is>
          <t>Technologies Deployed:</t>
        </is>
      </c>
      <c r="B25" s="4" t="n"/>
      <c r="C25" s="4" t="n"/>
    </row>
    <row r="26">
      <c r="A26" s="7" t="inlineStr">
        <is>
          <t>Configuration Details:</t>
        </is>
      </c>
      <c r="B26" s="4" t="n"/>
      <c r="C26" s="4" t="n"/>
    </row>
    <row r="27">
      <c r="A27" s="7" t="inlineStr">
        <is>
          <t>Coverage (%):</t>
        </is>
      </c>
      <c r="B27" s="4" t="n"/>
      <c r="C27" s="4" t="n"/>
    </row>
    <row r="28">
      <c r="A28" s="7" t="inlineStr">
        <is>
          <t>Exceptions:</t>
        </is>
      </c>
      <c r="B28" s="4" t="n"/>
      <c r="C28" s="4" t="n"/>
    </row>
    <row r="29">
      <c r="A29" s="7" t="inlineStr">
        <is>
          <t>Integration Notes:</t>
        </is>
      </c>
      <c r="B29" s="4" t="n"/>
      <c r="C29" s="4" t="n"/>
    </row>
    <row r="31">
      <c r="A31" s="6" t="inlineStr">
        <is>
          <t>T5 - SECURITY MONITORING &amp; LOGGING</t>
        </is>
      </c>
    </row>
    <row r="32">
      <c r="A32" s="7" t="inlineStr">
        <is>
          <t>Technologies Deployed:</t>
        </is>
      </c>
      <c r="B32" s="4" t="n"/>
      <c r="C32" s="4" t="n"/>
    </row>
    <row r="33">
      <c r="A33" s="7" t="inlineStr">
        <is>
          <t>Configuration Details:</t>
        </is>
      </c>
      <c r="B33" s="4" t="n"/>
      <c r="C33" s="4" t="n"/>
    </row>
    <row r="34">
      <c r="A34" s="7" t="inlineStr">
        <is>
          <t>Coverage (%):</t>
        </is>
      </c>
      <c r="B34" s="4" t="n"/>
      <c r="C34" s="4" t="n"/>
    </row>
    <row r="35">
      <c r="A35" s="7" t="inlineStr">
        <is>
          <t>Exceptions:</t>
        </is>
      </c>
      <c r="B35" s="4" t="n"/>
      <c r="C35" s="4" t="n"/>
    </row>
    <row r="36">
      <c r="A36" s="7" t="inlineStr">
        <is>
          <t>Integration Notes:</t>
        </is>
      </c>
      <c r="B36" s="4" t="n"/>
      <c r="C36" s="4" t="n"/>
    </row>
    <row r="38">
      <c r="A38" s="6" t="inlineStr">
        <is>
          <t>T6 - NETWORK SECURITY</t>
        </is>
      </c>
    </row>
    <row r="39">
      <c r="A39" s="7" t="inlineStr">
        <is>
          <t>Technologies Deployed:</t>
        </is>
      </c>
      <c r="B39" s="4" t="n"/>
      <c r="C39" s="4" t="n"/>
    </row>
    <row r="40">
      <c r="A40" s="7" t="inlineStr">
        <is>
          <t>Configuration Details:</t>
        </is>
      </c>
      <c r="B40" s="4" t="n"/>
      <c r="C40" s="4" t="n"/>
    </row>
    <row r="41">
      <c r="A41" s="7" t="inlineStr">
        <is>
          <t>Coverage (%):</t>
        </is>
      </c>
      <c r="B41" s="4" t="n"/>
      <c r="C41" s="4" t="n"/>
    </row>
    <row r="42">
      <c r="A42" s="7" t="inlineStr">
        <is>
          <t>Exceptions:</t>
        </is>
      </c>
      <c r="B42" s="4" t="n"/>
      <c r="C42" s="4" t="n"/>
    </row>
    <row r="43">
      <c r="A43" s="7" t="inlineStr">
        <is>
          <t>Integration Notes:</t>
        </is>
      </c>
      <c r="B43" s="4" t="n"/>
      <c r="C43" s="4" t="n"/>
    </row>
    <row r="45">
      <c r="A45" s="6" t="inlineStr">
        <is>
          <t>T7 - APPLICATION SECURITY</t>
        </is>
      </c>
    </row>
    <row r="46">
      <c r="A46" s="7" t="inlineStr">
        <is>
          <t>Technologies Deployed:</t>
        </is>
      </c>
      <c r="B46" s="4" t="n"/>
      <c r="C46" s="4" t="n"/>
    </row>
    <row r="47">
      <c r="A47" s="7" t="inlineStr">
        <is>
          <t>Configuration Details:</t>
        </is>
      </c>
      <c r="B47" s="4" t="n"/>
      <c r="C47" s="4" t="n"/>
    </row>
    <row r="48">
      <c r="A48" s="7" t="inlineStr">
        <is>
          <t>Coverage (%):</t>
        </is>
      </c>
      <c r="B48" s="4" t="n"/>
      <c r="C48" s="4" t="n"/>
    </row>
    <row r="49">
      <c r="A49" s="7" t="inlineStr">
        <is>
          <t>Exceptions:</t>
        </is>
      </c>
      <c r="B49" s="4" t="n"/>
      <c r="C49" s="4" t="n"/>
    </row>
    <row r="50">
      <c r="A50" s="7" t="inlineStr">
        <is>
          <t>Integration Notes:</t>
        </is>
      </c>
      <c r="B50" s="4" t="n"/>
      <c r="C50" s="4" t="n"/>
    </row>
    <row r="52">
      <c r="A52" s="6" t="inlineStr">
        <is>
          <t>T8 - ENDPOINT SECURITY</t>
        </is>
      </c>
    </row>
    <row r="53">
      <c r="A53" s="7" t="inlineStr">
        <is>
          <t>Technologies Deployed:</t>
        </is>
      </c>
      <c r="B53" s="4" t="n"/>
      <c r="C53" s="4" t="n"/>
    </row>
    <row r="54">
      <c r="A54" s="7" t="inlineStr">
        <is>
          <t>Configuration Details:</t>
        </is>
      </c>
      <c r="B54" s="4" t="n"/>
      <c r="C54" s="4" t="n"/>
    </row>
    <row r="55">
      <c r="A55" s="7" t="inlineStr">
        <is>
          <t>Coverage (%):</t>
        </is>
      </c>
      <c r="B55" s="4" t="n"/>
      <c r="C55" s="4" t="n"/>
    </row>
    <row r="56">
      <c r="A56" s="7" t="inlineStr">
        <is>
          <t>Exceptions:</t>
        </is>
      </c>
      <c r="B56" s="4" t="n"/>
      <c r="C56" s="4" t="n"/>
    </row>
    <row r="57">
      <c r="A57" s="7" t="inlineStr">
        <is>
          <t>Integration Notes:</t>
        </is>
      </c>
      <c r="B57" s="4" t="n"/>
      <c r="C57" s="4" t="n"/>
    </row>
    <row r="59">
      <c r="A59" s="6" t="inlineStr">
        <is>
          <t>T9 - BACKUP &amp; RECOVERY</t>
        </is>
      </c>
    </row>
    <row r="60">
      <c r="A60" s="7" t="inlineStr">
        <is>
          <t>Technologies Deployed:</t>
        </is>
      </c>
      <c r="B60" s="4" t="n"/>
      <c r="C60" s="4" t="n"/>
    </row>
    <row r="61">
      <c r="A61" s="7" t="inlineStr">
        <is>
          <t>Configuration Details:</t>
        </is>
      </c>
      <c r="B61" s="4" t="n"/>
      <c r="C61" s="4" t="n"/>
    </row>
    <row r="62">
      <c r="A62" s="7" t="inlineStr">
        <is>
          <t>Coverage (%):</t>
        </is>
      </c>
      <c r="B62" s="4" t="n"/>
      <c r="C62" s="4" t="n"/>
    </row>
    <row r="63">
      <c r="A63" s="7" t="inlineStr">
        <is>
          <t>Exceptions:</t>
        </is>
      </c>
      <c r="B63" s="4" t="n"/>
      <c r="C63" s="4" t="n"/>
    </row>
    <row r="64">
      <c r="A64" s="7" t="inlineStr">
        <is>
          <t>Integration Notes:</t>
        </is>
      </c>
      <c r="B64" s="4" t="n"/>
      <c r="C64" s="4" t="n"/>
    </row>
    <row r="66">
      <c r="A66" s="6" t="inlineStr">
        <is>
          <t>T10 - PHYSICAL SECURITY</t>
        </is>
      </c>
    </row>
    <row r="67">
      <c r="A67" s="7" t="inlineStr">
        <is>
          <t>Technologies Deployed:</t>
        </is>
      </c>
      <c r="B67" s="4" t="n"/>
      <c r="C67" s="4" t="n"/>
    </row>
    <row r="68">
      <c r="A68" s="7" t="inlineStr">
        <is>
          <t>Configuration Details:</t>
        </is>
      </c>
      <c r="B68" s="4" t="n"/>
      <c r="C68" s="4" t="n"/>
    </row>
    <row r="69">
      <c r="A69" s="7" t="inlineStr">
        <is>
          <t>Coverage (%):</t>
        </is>
      </c>
      <c r="B69" s="4" t="n"/>
      <c r="C69" s="4" t="n"/>
    </row>
    <row r="70">
      <c r="A70" s="7" t="inlineStr">
        <is>
          <t>Exceptions:</t>
        </is>
      </c>
      <c r="B70" s="4" t="n"/>
      <c r="C70" s="4" t="n"/>
    </row>
    <row r="71">
      <c r="A71" s="7" t="inlineStr">
        <is>
          <t>Integration Notes:</t>
        </is>
      </c>
      <c r="B71" s="4" t="n"/>
      <c r="C71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mergeCells count="61">
    <mergeCell ref="B47:C47"/>
    <mergeCell ref="B54:C54"/>
    <mergeCell ref="B62:C62"/>
    <mergeCell ref="A66:C66"/>
    <mergeCell ref="B7:C7"/>
    <mergeCell ref="B25:C25"/>
    <mergeCell ref="B46:C46"/>
    <mergeCell ref="B22:C22"/>
    <mergeCell ref="A3:C3"/>
    <mergeCell ref="B18:C18"/>
    <mergeCell ref="B27:C27"/>
    <mergeCell ref="B56:C56"/>
    <mergeCell ref="B71:C71"/>
    <mergeCell ref="B43:C43"/>
    <mergeCell ref="B12:C12"/>
    <mergeCell ref="B39:C39"/>
    <mergeCell ref="B70:C70"/>
    <mergeCell ref="B21:C21"/>
    <mergeCell ref="B48:C48"/>
    <mergeCell ref="B11:C11"/>
    <mergeCell ref="B67:C67"/>
    <mergeCell ref="B42:C42"/>
    <mergeCell ref="A17:C17"/>
    <mergeCell ref="B61:C61"/>
    <mergeCell ref="B14:C14"/>
    <mergeCell ref="B60:C60"/>
    <mergeCell ref="B57:C57"/>
    <mergeCell ref="B8:C8"/>
    <mergeCell ref="A38:C38"/>
    <mergeCell ref="B53:C53"/>
    <mergeCell ref="A52:C52"/>
    <mergeCell ref="A10:C10"/>
    <mergeCell ref="B13:C13"/>
    <mergeCell ref="B69:C69"/>
    <mergeCell ref="B29:C29"/>
    <mergeCell ref="B19:C19"/>
    <mergeCell ref="A31:C31"/>
    <mergeCell ref="B34:C34"/>
    <mergeCell ref="B28:C28"/>
    <mergeCell ref="B40:C40"/>
    <mergeCell ref="A59:C59"/>
    <mergeCell ref="B49:C49"/>
    <mergeCell ref="A24:C24"/>
    <mergeCell ref="B55:C55"/>
    <mergeCell ref="B6:C6"/>
    <mergeCell ref="B68:C68"/>
    <mergeCell ref="B64:C64"/>
    <mergeCell ref="B15:C15"/>
    <mergeCell ref="B33:C33"/>
    <mergeCell ref="A1:C1"/>
    <mergeCell ref="A45:C45"/>
    <mergeCell ref="B5:C5"/>
    <mergeCell ref="B20:C20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</cols>
  <sheetData>
    <row r="1">
      <c r="A1" s="5" t="inlineStr">
        <is>
          <t>ORGANIZATIONAL MEASURES DEEP-DIVE (O1-O10)</t>
        </is>
      </c>
    </row>
    <row r="3">
      <c r="A3" s="6" t="inlineStr">
        <is>
          <t>O1 - POLICIES &amp; PROCEDURES</t>
        </is>
      </c>
    </row>
    <row r="4">
      <c r="A4" s="7" t="inlineStr">
        <is>
          <t>Policies/Procedures:</t>
        </is>
      </c>
      <c r="B4" s="4" t="n"/>
      <c r="C4" s="4" t="n"/>
    </row>
    <row r="5">
      <c r="A5" s="7" t="inlineStr">
        <is>
          <t>Training/Communication:</t>
        </is>
      </c>
      <c r="B5" s="4" t="n"/>
      <c r="C5" s="4" t="n"/>
    </row>
    <row r="6">
      <c r="A6" s="7" t="inlineStr">
        <is>
          <t>Governance Structure:</t>
        </is>
      </c>
      <c r="B6" s="4" t="n"/>
      <c r="C6" s="4" t="n"/>
    </row>
    <row r="7">
      <c r="A7" s="7" t="inlineStr">
        <is>
          <t>Monitoring Method:</t>
        </is>
      </c>
      <c r="B7" s="4" t="n"/>
      <c r="C7" s="4" t="n"/>
    </row>
    <row r="8">
      <c r="A8" s="7" t="inlineStr">
        <is>
          <t>Improvement Process:</t>
        </is>
      </c>
      <c r="B8" s="4" t="n"/>
      <c r="C8" s="4" t="n"/>
    </row>
    <row r="10">
      <c r="A10" s="6" t="inlineStr">
        <is>
          <t>O2 - STAFF TRAINING &amp; AWARENESS</t>
        </is>
      </c>
    </row>
    <row r="11">
      <c r="A11" s="7" t="inlineStr">
        <is>
          <t>Policies/Procedures:</t>
        </is>
      </c>
      <c r="B11" s="4" t="n"/>
      <c r="C11" s="4" t="n"/>
    </row>
    <row r="12">
      <c r="A12" s="7" t="inlineStr">
        <is>
          <t>Training/Communication:</t>
        </is>
      </c>
      <c r="B12" s="4" t="n"/>
      <c r="C12" s="4" t="n"/>
    </row>
    <row r="13">
      <c r="A13" s="7" t="inlineStr">
        <is>
          <t>Governance Structure:</t>
        </is>
      </c>
      <c r="B13" s="4" t="n"/>
      <c r="C13" s="4" t="n"/>
    </row>
    <row r="14">
      <c r="A14" s="7" t="inlineStr">
        <is>
          <t>Monitoring Method:</t>
        </is>
      </c>
      <c r="B14" s="4" t="n"/>
      <c r="C14" s="4" t="n"/>
    </row>
    <row r="15">
      <c r="A15" s="7" t="inlineStr">
        <is>
          <t>Improvement Process:</t>
        </is>
      </c>
      <c r="B15" s="4" t="n"/>
      <c r="C15" s="4" t="n"/>
    </row>
    <row r="17">
      <c r="A17" s="6" t="inlineStr">
        <is>
          <t>O3 - INCIDENT RESPONSE &amp; BREACH NOTIFICATION</t>
        </is>
      </c>
    </row>
    <row r="18">
      <c r="A18" s="7" t="inlineStr">
        <is>
          <t>Policies/Procedures:</t>
        </is>
      </c>
      <c r="B18" s="4" t="n"/>
      <c r="C18" s="4" t="n"/>
    </row>
    <row r="19">
      <c r="A19" s="7" t="inlineStr">
        <is>
          <t>Training/Communication:</t>
        </is>
      </c>
      <c r="B19" s="4" t="n"/>
      <c r="C19" s="4" t="n"/>
    </row>
    <row r="20">
      <c r="A20" s="7" t="inlineStr">
        <is>
          <t>Governance Structure:</t>
        </is>
      </c>
      <c r="B20" s="4" t="n"/>
      <c r="C20" s="4" t="n"/>
    </row>
    <row r="21">
      <c r="A21" s="7" t="inlineStr">
        <is>
          <t>Monitoring Method:</t>
        </is>
      </c>
      <c r="B21" s="4" t="n"/>
      <c r="C21" s="4" t="n"/>
    </row>
    <row r="22">
      <c r="A22" s="7" t="inlineStr">
        <is>
          <t>Improvement Process:</t>
        </is>
      </c>
      <c r="B22" s="4" t="n"/>
      <c r="C22" s="4" t="n"/>
    </row>
    <row r="24">
      <c r="A24" s="6" t="inlineStr">
        <is>
          <t>O4 - VENDOR MANAGEMENT</t>
        </is>
      </c>
    </row>
    <row r="25">
      <c r="A25" s="7" t="inlineStr">
        <is>
          <t>Policies/Procedures:</t>
        </is>
      </c>
      <c r="B25" s="4" t="n"/>
      <c r="C25" s="4" t="n"/>
    </row>
    <row r="26">
      <c r="A26" s="7" t="inlineStr">
        <is>
          <t>Training/Communication:</t>
        </is>
      </c>
      <c r="B26" s="4" t="n"/>
      <c r="C26" s="4" t="n"/>
    </row>
    <row r="27">
      <c r="A27" s="7" t="inlineStr">
        <is>
          <t>Governance Structure:</t>
        </is>
      </c>
      <c r="B27" s="4" t="n"/>
      <c r="C27" s="4" t="n"/>
    </row>
    <row r="28">
      <c r="A28" s="7" t="inlineStr">
        <is>
          <t>Monitoring Method:</t>
        </is>
      </c>
      <c r="B28" s="4" t="n"/>
      <c r="C28" s="4" t="n"/>
    </row>
    <row r="29">
      <c r="A29" s="7" t="inlineStr">
        <is>
          <t>Improvement Process:</t>
        </is>
      </c>
      <c r="B29" s="4" t="n"/>
      <c r="C29" s="4" t="n"/>
    </row>
    <row r="31">
      <c r="A31" s="6" t="inlineStr">
        <is>
          <t>O5 - DATA PROTECTION BY DESIGN/DEFAULT</t>
        </is>
      </c>
    </row>
    <row r="32">
      <c r="A32" s="7" t="inlineStr">
        <is>
          <t>Policies/Procedures:</t>
        </is>
      </c>
      <c r="B32" s="4" t="n"/>
      <c r="C32" s="4" t="n"/>
    </row>
    <row r="33">
      <c r="A33" s="7" t="inlineStr">
        <is>
          <t>Training/Communication:</t>
        </is>
      </c>
      <c r="B33" s="4" t="n"/>
      <c r="C33" s="4" t="n"/>
    </row>
    <row r="34">
      <c r="A34" s="7" t="inlineStr">
        <is>
          <t>Governance Structure:</t>
        </is>
      </c>
      <c r="B34" s="4" t="n"/>
      <c r="C34" s="4" t="n"/>
    </row>
    <row r="35">
      <c r="A35" s="7" t="inlineStr">
        <is>
          <t>Monitoring Method:</t>
        </is>
      </c>
      <c r="B35" s="4" t="n"/>
      <c r="C35" s="4" t="n"/>
    </row>
    <row r="36">
      <c r="A36" s="7" t="inlineStr">
        <is>
          <t>Improvement Process:</t>
        </is>
      </c>
      <c r="B36" s="4" t="n"/>
      <c r="C36" s="4" t="n"/>
    </row>
    <row r="38">
      <c r="A38" s="6" t="inlineStr">
        <is>
          <t>O6 - ACCOUNTABILITY &amp; GOVERNANCE</t>
        </is>
      </c>
    </row>
    <row r="39">
      <c r="A39" s="7" t="inlineStr">
        <is>
          <t>Policies/Procedures:</t>
        </is>
      </c>
      <c r="B39" s="4" t="n"/>
      <c r="C39" s="4" t="n"/>
    </row>
    <row r="40">
      <c r="A40" s="7" t="inlineStr">
        <is>
          <t>Training/Communication:</t>
        </is>
      </c>
      <c r="B40" s="4" t="n"/>
      <c r="C40" s="4" t="n"/>
    </row>
    <row r="41">
      <c r="A41" s="7" t="inlineStr">
        <is>
          <t>Governance Structure:</t>
        </is>
      </c>
      <c r="B41" s="4" t="n"/>
      <c r="C41" s="4" t="n"/>
    </row>
    <row r="42">
      <c r="A42" s="7" t="inlineStr">
        <is>
          <t>Monitoring Method:</t>
        </is>
      </c>
      <c r="B42" s="4" t="n"/>
      <c r="C42" s="4" t="n"/>
    </row>
    <row r="43">
      <c r="A43" s="7" t="inlineStr">
        <is>
          <t>Improvement Process:</t>
        </is>
      </c>
      <c r="B43" s="4" t="n"/>
      <c r="C43" s="4" t="n"/>
    </row>
    <row r="45">
      <c r="A45" s="6" t="inlineStr">
        <is>
          <t>O7 - RISK MANAGEMENT</t>
        </is>
      </c>
    </row>
    <row r="46">
      <c r="A46" s="7" t="inlineStr">
        <is>
          <t>Policies/Procedures:</t>
        </is>
      </c>
      <c r="B46" s="4" t="n"/>
      <c r="C46" s="4" t="n"/>
    </row>
    <row r="47">
      <c r="A47" s="7" t="inlineStr">
        <is>
          <t>Training/Communication:</t>
        </is>
      </c>
      <c r="B47" s="4" t="n"/>
      <c r="C47" s="4" t="n"/>
    </row>
    <row r="48">
      <c r="A48" s="7" t="inlineStr">
        <is>
          <t>Governance Structure:</t>
        </is>
      </c>
      <c r="B48" s="4" t="n"/>
      <c r="C48" s="4" t="n"/>
    </row>
    <row r="49">
      <c r="A49" s="7" t="inlineStr">
        <is>
          <t>Monitoring Method:</t>
        </is>
      </c>
      <c r="B49" s="4" t="n"/>
      <c r="C49" s="4" t="n"/>
    </row>
    <row r="50">
      <c r="A50" s="7" t="inlineStr">
        <is>
          <t>Improvement Process:</t>
        </is>
      </c>
      <c r="B50" s="4" t="n"/>
      <c r="C50" s="4" t="n"/>
    </row>
    <row r="52">
      <c r="A52" s="6" t="inlineStr">
        <is>
          <t>O8 - COMPLIANCE MONITORING &amp; AUDIT</t>
        </is>
      </c>
    </row>
    <row r="53">
      <c r="A53" s="7" t="inlineStr">
        <is>
          <t>Policies/Procedures:</t>
        </is>
      </c>
      <c r="B53" s="4" t="n"/>
      <c r="C53" s="4" t="n"/>
    </row>
    <row r="54">
      <c r="A54" s="7" t="inlineStr">
        <is>
          <t>Training/Communication:</t>
        </is>
      </c>
      <c r="B54" s="4" t="n"/>
      <c r="C54" s="4" t="n"/>
    </row>
    <row r="55">
      <c r="A55" s="7" t="inlineStr">
        <is>
          <t>Governance Structure:</t>
        </is>
      </c>
      <c r="B55" s="4" t="n"/>
      <c r="C55" s="4" t="n"/>
    </row>
    <row r="56">
      <c r="A56" s="7" t="inlineStr">
        <is>
          <t>Monitoring Method:</t>
        </is>
      </c>
      <c r="B56" s="4" t="n"/>
      <c r="C56" s="4" t="n"/>
    </row>
    <row r="57">
      <c r="A57" s="7" t="inlineStr">
        <is>
          <t>Improvement Process:</t>
        </is>
      </c>
      <c r="B57" s="4" t="n"/>
      <c r="C57" s="4" t="n"/>
    </row>
    <row r="59">
      <c r="A59" s="6" t="inlineStr">
        <is>
          <t>O9 - DOCUMENTATION &amp; RECORDS</t>
        </is>
      </c>
    </row>
    <row r="60">
      <c r="A60" s="7" t="inlineStr">
        <is>
          <t>Policies/Procedures:</t>
        </is>
      </c>
      <c r="B60" s="4" t="n"/>
      <c r="C60" s="4" t="n"/>
    </row>
    <row r="61">
      <c r="A61" s="7" t="inlineStr">
        <is>
          <t>Training/Communication:</t>
        </is>
      </c>
      <c r="B61" s="4" t="n"/>
      <c r="C61" s="4" t="n"/>
    </row>
    <row r="62">
      <c r="A62" s="7" t="inlineStr">
        <is>
          <t>Governance Structure:</t>
        </is>
      </c>
      <c r="B62" s="4" t="n"/>
      <c r="C62" s="4" t="n"/>
    </row>
    <row r="63">
      <c r="A63" s="7" t="inlineStr">
        <is>
          <t>Monitoring Method:</t>
        </is>
      </c>
      <c r="B63" s="4" t="n"/>
      <c r="C63" s="4" t="n"/>
    </row>
    <row r="64">
      <c r="A64" s="7" t="inlineStr">
        <is>
          <t>Improvement Process:</t>
        </is>
      </c>
      <c r="B64" s="4" t="n"/>
      <c r="C64" s="4" t="n"/>
    </row>
    <row r="66">
      <c r="A66" s="6" t="inlineStr">
        <is>
          <t>O10 - BUSINESS CONTINUITY</t>
        </is>
      </c>
    </row>
    <row r="67">
      <c r="A67" s="7" t="inlineStr">
        <is>
          <t>Policies/Procedures:</t>
        </is>
      </c>
      <c r="B67" s="4" t="n"/>
      <c r="C67" s="4" t="n"/>
    </row>
    <row r="68">
      <c r="A68" s="7" t="inlineStr">
        <is>
          <t>Training/Communication:</t>
        </is>
      </c>
      <c r="B68" s="4" t="n"/>
      <c r="C68" s="4" t="n"/>
    </row>
    <row r="69">
      <c r="A69" s="7" t="inlineStr">
        <is>
          <t>Governance Structure:</t>
        </is>
      </c>
      <c r="B69" s="4" t="n"/>
      <c r="C69" s="4" t="n"/>
    </row>
    <row r="70">
      <c r="A70" s="7" t="inlineStr">
        <is>
          <t>Monitoring Method:</t>
        </is>
      </c>
      <c r="B70" s="4" t="n"/>
      <c r="C70" s="4" t="n"/>
    </row>
    <row r="71">
      <c r="A71" s="7" t="inlineStr">
        <is>
          <t>Improvement Process:</t>
        </is>
      </c>
      <c r="B71" s="4" t="n"/>
      <c r="C71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mergeCells count="61">
    <mergeCell ref="B47:C47"/>
    <mergeCell ref="B54:C54"/>
    <mergeCell ref="B62:C62"/>
    <mergeCell ref="A66:C66"/>
    <mergeCell ref="B7:C7"/>
    <mergeCell ref="B25:C25"/>
    <mergeCell ref="B46:C46"/>
    <mergeCell ref="B22:C22"/>
    <mergeCell ref="A3:C3"/>
    <mergeCell ref="B18:C18"/>
    <mergeCell ref="B27:C27"/>
    <mergeCell ref="B56:C56"/>
    <mergeCell ref="B71:C71"/>
    <mergeCell ref="B43:C43"/>
    <mergeCell ref="B12:C12"/>
    <mergeCell ref="B39:C39"/>
    <mergeCell ref="B70:C70"/>
    <mergeCell ref="B21:C21"/>
    <mergeCell ref="B48:C48"/>
    <mergeCell ref="B11:C11"/>
    <mergeCell ref="B67:C67"/>
    <mergeCell ref="B42:C42"/>
    <mergeCell ref="A17:C17"/>
    <mergeCell ref="B61:C61"/>
    <mergeCell ref="B14:C14"/>
    <mergeCell ref="B60:C60"/>
    <mergeCell ref="B57:C57"/>
    <mergeCell ref="B8:C8"/>
    <mergeCell ref="A38:C38"/>
    <mergeCell ref="B53:C53"/>
    <mergeCell ref="A52:C52"/>
    <mergeCell ref="A10:C10"/>
    <mergeCell ref="B13:C13"/>
    <mergeCell ref="B69:C69"/>
    <mergeCell ref="B29:C29"/>
    <mergeCell ref="B19:C19"/>
    <mergeCell ref="A31:C31"/>
    <mergeCell ref="B34:C34"/>
    <mergeCell ref="B28:C28"/>
    <mergeCell ref="B40:C40"/>
    <mergeCell ref="A59:C59"/>
    <mergeCell ref="B49:C49"/>
    <mergeCell ref="A24:C24"/>
    <mergeCell ref="B55:C55"/>
    <mergeCell ref="B6:C6"/>
    <mergeCell ref="B68:C68"/>
    <mergeCell ref="B64:C64"/>
    <mergeCell ref="B15:C15"/>
    <mergeCell ref="B33:C33"/>
    <mergeCell ref="A1:C1"/>
    <mergeCell ref="A45:C45"/>
    <mergeCell ref="B5:C5"/>
    <mergeCell ref="B20:C20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50" customWidth="1" min="4" max="4"/>
    <col width="60" customWidth="1" min="5" max="5"/>
    <col width="15" customWidth="1" min="6" max="6"/>
    <col width="20" customWidth="1" min="7" max="7"/>
    <col width="25" customWidth="1" min="8" max="8"/>
    <col width="50" customWidth="1" min="9" max="9"/>
  </cols>
  <sheetData>
    <row r="1">
      <c r="A1" s="3" t="inlineStr">
        <is>
          <t>Evidence ID</t>
        </is>
      </c>
      <c r="B1" s="3" t="inlineStr">
        <is>
          <t>TOM ID</t>
        </is>
      </c>
      <c r="C1" s="3" t="inlineStr">
        <is>
          <t>Evidence Type</t>
        </is>
      </c>
      <c r="D1" s="3" t="inlineStr">
        <is>
          <t>Description</t>
        </is>
      </c>
      <c r="E1" s="3" t="inlineStr">
        <is>
          <t>File Location</t>
        </is>
      </c>
      <c r="F1" s="3" t="inlineStr">
        <is>
          <t>Evidence Date</t>
        </is>
      </c>
      <c r="G1" s="3" t="inlineStr">
        <is>
          <t>Verification Status</t>
        </is>
      </c>
      <c r="H1" s="3" t="inlineStr">
        <is>
          <t>Verified By</t>
        </is>
      </c>
      <c r="I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dataValidations count="2">
    <dataValidation sqref="C2:C500" showDropDown="0" showInputMessage="0" showErrorMessage="0" allowBlank="1" type="list">
      <formula1>"Configuration Screenshot,Policy Document,Training Report,Audit Report,Test Results,Vendor Assessment,Incident Response Test,Other"</formula1>
    </dataValidation>
    <dataValidation sqref="G2:G500" showDropDown="0" showInputMessage="0" showErrorMessage="0" allowBlank="1" type="list">
      <formula1>"Verified,Pending Verification,Invalid,Expired"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5" customWidth="1" min="4" max="4"/>
    <col width="15" customWidth="1" min="5" max="5"/>
    <col width="15" customWidth="1" min="6" max="6"/>
    <col width="10" customWidth="1" min="7" max="7"/>
    <col width="20" customWidth="1" min="8" max="8"/>
    <col width="20" customWidth="1" min="9" max="9"/>
    <col width="50" customWidth="1" min="10" max="10"/>
  </cols>
  <sheetData>
    <row r="1">
      <c r="A1" s="3" t="inlineStr">
        <is>
          <t>Gap ID</t>
        </is>
      </c>
      <c r="B1" s="3" t="inlineStr">
        <is>
          <t>TOM ID</t>
        </is>
      </c>
      <c r="C1" s="3" t="inlineStr">
        <is>
          <t>Gap Description</t>
        </is>
      </c>
      <c r="D1" s="3" t="inlineStr">
        <is>
          <t>Likelihood</t>
        </is>
      </c>
      <c r="E1" s="3" t="inlineStr">
        <is>
          <t>Impact</t>
        </is>
      </c>
      <c r="F1" s="3" t="inlineStr">
        <is>
          <t>Overall Risk</t>
        </is>
      </c>
      <c r="G1" s="3" t="inlineStr">
        <is>
          <t>Risk Score</t>
        </is>
      </c>
      <c r="H1" s="3" t="inlineStr">
        <is>
          <t>Remediation Priority</t>
        </is>
      </c>
      <c r="I1" s="3" t="inlineStr">
        <is>
          <t>Residual Risk</t>
        </is>
      </c>
      <c r="J1" s="3" t="inlineStr">
        <is>
          <t>Acceptance Justification</t>
        </is>
      </c>
    </row>
    <row r="2">
      <c r="A2" s="4" t="n"/>
      <c r="B2" s="4" t="n"/>
      <c r="C2" s="4" t="n"/>
      <c r="D2" s="4" t="n"/>
      <c r="E2" s="4" t="n"/>
      <c r="F2">
        <f>IF(AND(D2="High", OR(E2="High", E2="Critical")), "Critical", IF(AND(D2="Medium", E2="Critical"), "Critical", IF(OR(AND(D2="High", E2="Medium"), AND(D2="Medium", E2="High")), "High", IF(OR(AND(D2="Low", E2="High"), AND(D2="Medium", E2="Medium")), "Medium", "Low"))))</f>
        <v/>
      </c>
      <c r="G2">
        <f>IF(F2="Critical", 4, IF(F2="High", 3, IF(F2="Medium", 2, 1)))</f>
        <v/>
      </c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>
        <f>IF(AND(D3="High", OR(E3="High", E3="Critical")), "Critical", IF(AND(D3="Medium", E3="Critical"), "Critical", IF(OR(AND(D3="High", E3="Medium"), AND(D3="Medium", E3="High")), "High", IF(OR(AND(D3="Low", E3="High"), AND(D3="Medium", E3="Medium")), "Medium", "Low"))))</f>
        <v/>
      </c>
      <c r="G3">
        <f>IF(F3="Critical", 4, IF(F3="High", 3, IF(F3="Medium", 2, 1)))</f>
        <v/>
      </c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>
        <f>IF(AND(D4="High", OR(E4="High", E4="Critical")), "Critical", IF(AND(D4="Medium", E4="Critical"), "Critical", IF(OR(AND(D4="High", E4="Medium"), AND(D4="Medium", E4="High")), "High", IF(OR(AND(D4="Low", E4="High"), AND(D4="Medium", E4="Medium")), "Medium", "Low"))))</f>
        <v/>
      </c>
      <c r="G4">
        <f>IF(F4="Critical", 4, IF(F4="High", 3, IF(F4="Medium", 2, 1)))</f>
        <v/>
      </c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>
        <f>IF(AND(D5="High", OR(E5="High", E5="Critical")), "Critical", IF(AND(D5="Medium", E5="Critical"), "Critical", IF(OR(AND(D5="High", E5="Medium"), AND(D5="Medium", E5="High")), "High", IF(OR(AND(D5="Low", E5="High"), AND(D5="Medium", E5="Medium")), "Medium", "Low"))))</f>
        <v/>
      </c>
      <c r="G5">
        <f>IF(F5="Critical", 4, IF(F5="High", 3, IF(F5="Medium", 2, 1)))</f>
        <v/>
      </c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>
        <f>IF(AND(D6="High", OR(E6="High", E6="Critical")), "Critical", IF(AND(D6="Medium", E6="Critical"), "Critical", IF(OR(AND(D6="High", E6="Medium"), AND(D6="Medium", E6="High")), "High", IF(OR(AND(D6="Low", E6="High"), AND(D6="Medium", E6="Medium")), "Medium", "Low"))))</f>
        <v/>
      </c>
      <c r="G6">
        <f>IF(F6="Critical", 4, IF(F6="High", 3, IF(F6="Medium", 2, 1)))</f>
        <v/>
      </c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>
        <f>IF(AND(D7="High", OR(E7="High", E7="Critical")), "Critical", IF(AND(D7="Medium", E7="Critical"), "Critical", IF(OR(AND(D7="High", E7="Medium"), AND(D7="Medium", E7="High")), "High", IF(OR(AND(D7="Low", E7="High"), AND(D7="Medium", E7="Medium")), "Medium", "Low"))))</f>
        <v/>
      </c>
      <c r="G7">
        <f>IF(F7="Critical", 4, IF(F7="High", 3, IF(F7="Medium", 2, 1)))</f>
        <v/>
      </c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>
        <f>IF(AND(D8="High", OR(E8="High", E8="Critical")), "Critical", IF(AND(D8="Medium", E8="Critical"), "Critical", IF(OR(AND(D8="High", E8="Medium"), AND(D8="Medium", E8="High")), "High", IF(OR(AND(D8="Low", E8="High"), AND(D8="Medium", E8="Medium")), "Medium", "Low"))))</f>
        <v/>
      </c>
      <c r="G8">
        <f>IF(F8="Critical", 4, IF(F8="High", 3, IF(F8="Medium", 2, 1)))</f>
        <v/>
      </c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>
        <f>IF(AND(D9="High", OR(E9="High", E9="Critical")), "Critical", IF(AND(D9="Medium", E9="Critical"), "Critical", IF(OR(AND(D9="High", E9="Medium"), AND(D9="Medium", E9="High")), "High", IF(OR(AND(D9="Low", E9="High"), AND(D9="Medium", E9="Medium")), "Medium", "Low"))))</f>
        <v/>
      </c>
      <c r="G9">
        <f>IF(F9="Critical", 4, IF(F9="High", 3, IF(F9="Medium", 2, 1)))</f>
        <v/>
      </c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>
        <f>IF(AND(D10="High", OR(E10="High", E10="Critical")), "Critical", IF(AND(D10="Medium", E10="Critical"), "Critical", IF(OR(AND(D10="High", E10="Medium"), AND(D10="Medium", E10="High")), "High", IF(OR(AND(D10="Low", E10="High"), AND(D10="Medium", E10="Medium")), "Medium", "Low"))))</f>
        <v/>
      </c>
      <c r="G10">
        <f>IF(F10="Critical", 4, IF(F10="High", 3, IF(F10="Medium", 2, 1)))</f>
        <v/>
      </c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>
        <f>IF(AND(D11="High", OR(E11="High", E11="Critical")), "Critical", IF(AND(D11="Medium", E11="Critical"), "Critical", IF(OR(AND(D11="High", E11="Medium"), AND(D11="Medium", E11="High")), "High", IF(OR(AND(D11="Low", E11="High"), AND(D11="Medium", E11="Medium")), "Medium", "Low"))))</f>
        <v/>
      </c>
      <c r="G11">
        <f>IF(F11="Critical", 4, IF(F11="High", 3, IF(F11="Medium", 2, 1)))</f>
        <v/>
      </c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>
        <f>IF(AND(D12="High", OR(E12="High", E12="Critical")), "Critical", IF(AND(D12="Medium", E12="Critical"), "Critical", IF(OR(AND(D12="High", E12="Medium"), AND(D12="Medium", E12="High")), "High", IF(OR(AND(D12="Low", E12="High"), AND(D12="Medium", E12="Medium")), "Medium", "Low"))))</f>
        <v/>
      </c>
      <c r="G12">
        <f>IF(F12="Critical", 4, IF(F12="High", 3, IF(F12="Medium", 2, 1)))</f>
        <v/>
      </c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>
        <f>IF(AND(D13="High", OR(E13="High", E13="Critical")), "Critical", IF(AND(D13="Medium", E13="Critical"), "Critical", IF(OR(AND(D13="High", E13="Medium"), AND(D13="Medium", E13="High")), "High", IF(OR(AND(D13="Low", E13="High"), AND(D13="Medium", E13="Medium")), "Medium", "Low"))))</f>
        <v/>
      </c>
      <c r="G13">
        <f>IF(F13="Critical", 4, IF(F13="High", 3, IF(F13="Medium", 2, 1)))</f>
        <v/>
      </c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>
        <f>IF(AND(D14="High", OR(E14="High", E14="Critical")), "Critical", IF(AND(D14="Medium", E14="Critical"), "Critical", IF(OR(AND(D14="High", E14="Medium"), AND(D14="Medium", E14="High")), "High", IF(OR(AND(D14="Low", E14="High"), AND(D14="Medium", E14="Medium")), "Medium", "Low"))))</f>
        <v/>
      </c>
      <c r="G14">
        <f>IF(F14="Critical", 4, IF(F14="High", 3, IF(F14="Medium", 2, 1)))</f>
        <v/>
      </c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>
        <f>IF(AND(D15="High", OR(E15="High", E15="Critical")), "Critical", IF(AND(D15="Medium", E15="Critical"), "Critical", IF(OR(AND(D15="High", E15="Medium"), AND(D15="Medium", E15="High")), "High", IF(OR(AND(D15="Low", E15="High"), AND(D15="Medium", E15="Medium")), "Medium", "Low"))))</f>
        <v/>
      </c>
      <c r="G15">
        <f>IF(F15="Critical", 4, IF(F15="High", 3, IF(F15="Medium", 2, 1)))</f>
        <v/>
      </c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>
        <f>IF(AND(D16="High", OR(E16="High", E16="Critical")), "Critical", IF(AND(D16="Medium", E16="Critical"), "Critical", IF(OR(AND(D16="High", E16="Medium"), AND(D16="Medium", E16="High")), "High", IF(OR(AND(D16="Low", E16="High"), AND(D16="Medium", E16="Medium")), "Medium", "Low"))))</f>
        <v/>
      </c>
      <c r="G16">
        <f>IF(F16="Critical", 4, IF(F16="High", 3, IF(F16="Medium", 2, 1)))</f>
        <v/>
      </c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>
        <f>IF(AND(D17="High", OR(E17="High", E17="Critical")), "Critical", IF(AND(D17="Medium", E17="Critical"), "Critical", IF(OR(AND(D17="High", E17="Medium"), AND(D17="Medium", E17="High")), "High", IF(OR(AND(D17="Low", E17="High"), AND(D17="Medium", E17="Medium")), "Medium", "Low"))))</f>
        <v/>
      </c>
      <c r="G17">
        <f>IF(F17="Critical", 4, IF(F17="High", 3, IF(F17="Medium", 2, 1)))</f>
        <v/>
      </c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>
        <f>IF(AND(D18="High", OR(E18="High", E18="Critical")), "Critical", IF(AND(D18="Medium", E18="Critical"), "Critical", IF(OR(AND(D18="High", E18="Medium"), AND(D18="Medium", E18="High")), "High", IF(OR(AND(D18="Low", E18="High"), AND(D18="Medium", E18="Medium")), "Medium", "Low"))))</f>
        <v/>
      </c>
      <c r="G18">
        <f>IF(F18="Critical", 4, IF(F18="High", 3, IF(F18="Medium", 2, 1)))</f>
        <v/>
      </c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>
        <f>IF(AND(D19="High", OR(E19="High", E19="Critical")), "Critical", IF(AND(D19="Medium", E19="Critical"), "Critical", IF(OR(AND(D19="High", E19="Medium"), AND(D19="Medium", E19="High")), "High", IF(OR(AND(D19="Low", E19="High"), AND(D19="Medium", E19="Medium")), "Medium", "Low"))))</f>
        <v/>
      </c>
      <c r="G19">
        <f>IF(F19="Critical", 4, IF(F19="High", 3, IF(F19="Medium", 2, 1)))</f>
        <v/>
      </c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>
        <f>IF(AND(D20="High", OR(E20="High", E20="Critical")), "Critical", IF(AND(D20="Medium", E20="Critical"), "Critical", IF(OR(AND(D20="High", E20="Medium"), AND(D20="Medium", E20="High")), "High", IF(OR(AND(D20="Low", E20="High"), AND(D20="Medium", E20="Medium")), "Medium", "Low"))))</f>
        <v/>
      </c>
      <c r="G20">
        <f>IF(F20="Critical", 4, IF(F20="High", 3, IF(F20="Medium", 2, 1)))</f>
        <v/>
      </c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>
        <f>IF(AND(D21="High", OR(E21="High", E21="Critical")), "Critical", IF(AND(D21="Medium", E21="Critical"), "Critical", IF(OR(AND(D21="High", E21="Medium"), AND(D21="Medium", E21="High")), "High", IF(OR(AND(D21="Low", E21="High"), AND(D21="Medium", E21="Medium")), "Medium", "Low"))))</f>
        <v/>
      </c>
      <c r="G21">
        <f>IF(F21="Critical", 4, IF(F21="High", 3, IF(F21="Medium", 2, 1)))</f>
        <v/>
      </c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>
        <f>IF(AND(D22="High", OR(E22="High", E22="Critical")), "Critical", IF(AND(D22="Medium", E22="Critical"), "Critical", IF(OR(AND(D22="High", E22="Medium"), AND(D22="Medium", E22="High")), "High", IF(OR(AND(D22="Low", E22="High"), AND(D22="Medium", E22="Medium")), "Medium", "Low"))))</f>
        <v/>
      </c>
      <c r="G22">
        <f>IF(F22="Critical", 4, IF(F22="High", 3, IF(F22="Medium", 2, 1)))</f>
        <v/>
      </c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>
        <f>IF(AND(D23="High", OR(E23="High", E23="Critical")), "Critical", IF(AND(D23="Medium", E23="Critical"), "Critical", IF(OR(AND(D23="High", E23="Medium"), AND(D23="Medium", E23="High")), "High", IF(OR(AND(D23="Low", E23="High"), AND(D23="Medium", E23="Medium")), "Medium", "Low"))))</f>
        <v/>
      </c>
      <c r="G23">
        <f>IF(F23="Critical", 4, IF(F23="High", 3, IF(F23="Medium", 2, 1)))</f>
        <v/>
      </c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>
        <f>IF(AND(D24="High", OR(E24="High", E24="Critical")), "Critical", IF(AND(D24="Medium", E24="Critical"), "Critical", IF(OR(AND(D24="High", E24="Medium"), AND(D24="Medium", E24="High")), "High", IF(OR(AND(D24="Low", E24="High"), AND(D24="Medium", E24="Medium")), "Medium", "Low"))))</f>
        <v/>
      </c>
      <c r="G24">
        <f>IF(F24="Critical", 4, IF(F24="High", 3, IF(F24="Medium", 2, 1)))</f>
        <v/>
      </c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>
        <f>IF(AND(D25="High", OR(E25="High", E25="Critical")), "Critical", IF(AND(D25="Medium", E25="Critical"), "Critical", IF(OR(AND(D25="High", E25="Medium"), AND(D25="Medium", E25="High")), "High", IF(OR(AND(D25="Low", E25="High"), AND(D25="Medium", E25="Medium")), "Medium", "Low"))))</f>
        <v/>
      </c>
      <c r="G25">
        <f>IF(F25="Critical", 4, IF(F25="High", 3, IF(F25="Medium", 2, 1)))</f>
        <v/>
      </c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>
        <f>IF(AND(D26="High", OR(E26="High", E26="Critical")), "Critical", IF(AND(D26="Medium", E26="Critical"), "Critical", IF(OR(AND(D26="High", E26="Medium"), AND(D26="Medium", E26="High")), "High", IF(OR(AND(D26="Low", E26="High"), AND(D26="Medium", E26="Medium")), "Medium", "Low"))))</f>
        <v/>
      </c>
      <c r="G26">
        <f>IF(F26="Critical", 4, IF(F26="High", 3, IF(F26="Medium", 2, 1)))</f>
        <v/>
      </c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>
        <f>IF(AND(D27="High", OR(E27="High", E27="Critical")), "Critical", IF(AND(D27="Medium", E27="Critical"), "Critical", IF(OR(AND(D27="High", E27="Medium"), AND(D27="Medium", E27="High")), "High", IF(OR(AND(D27="Low", E27="High"), AND(D27="Medium", E27="Medium")), "Medium", "Low"))))</f>
        <v/>
      </c>
      <c r="G27">
        <f>IF(F27="Critical", 4, IF(F27="High", 3, IF(F27="Medium", 2, 1)))</f>
        <v/>
      </c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>
        <f>IF(AND(D28="High", OR(E28="High", E28="Critical")), "Critical", IF(AND(D28="Medium", E28="Critical"), "Critical", IF(OR(AND(D28="High", E28="Medium"), AND(D28="Medium", E28="High")), "High", IF(OR(AND(D28="Low", E28="High"), AND(D28="Medium", E28="Medium")), "Medium", "Low"))))</f>
        <v/>
      </c>
      <c r="G28">
        <f>IF(F28="Critical", 4, IF(F28="High", 3, IF(F28="Medium", 2, 1)))</f>
        <v/>
      </c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>
        <f>IF(AND(D29="High", OR(E29="High", E29="Critical")), "Critical", IF(AND(D29="Medium", E29="Critical"), "Critical", IF(OR(AND(D29="High", E29="Medium"), AND(D29="Medium", E29="High")), "High", IF(OR(AND(D29="Low", E29="High"), AND(D29="Medium", E29="Medium")), "Medium", "Low"))))</f>
        <v/>
      </c>
      <c r="G29">
        <f>IF(F29="Critical", 4, IF(F29="High", 3, IF(F29="Medium", 2, 1)))</f>
        <v/>
      </c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>
        <f>IF(AND(D30="High", OR(E30="High", E30="Critical")), "Critical", IF(AND(D30="Medium", E30="Critical"), "Critical", IF(OR(AND(D30="High", E30="Medium"), AND(D30="Medium", E30="High")), "High", IF(OR(AND(D30="Low", E30="High"), AND(D30="Medium", E30="Medium")), "Medium", "Low"))))</f>
        <v/>
      </c>
      <c r="G30">
        <f>IF(F30="Critical", 4, IF(F30="High", 3, IF(F30="Medium", 2, 1)))</f>
        <v/>
      </c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>
        <f>IF(AND(D31="High", OR(E31="High", E31="Critical")), "Critical", IF(AND(D31="Medium", E31="Critical"), "Critical", IF(OR(AND(D31="High", E31="Medium"), AND(D31="Medium", E31="High")), "High", IF(OR(AND(D31="Low", E31="High"), AND(D31="Medium", E31="Medium")), "Medium", "Low"))))</f>
        <v/>
      </c>
      <c r="G31">
        <f>IF(F31="Critical", 4, IF(F31="High", 3, IF(F31="Medium", 2, 1)))</f>
        <v/>
      </c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>
        <f>IF(AND(D32="High", OR(E32="High", E32="Critical")), "Critical", IF(AND(D32="Medium", E32="Critical"), "Critical", IF(OR(AND(D32="High", E32="Medium"), AND(D32="Medium", E32="High")), "High", IF(OR(AND(D32="Low", E32="High"), AND(D32="Medium", E32="Medium")), "Medium", "Low"))))</f>
        <v/>
      </c>
      <c r="G32">
        <f>IF(F32="Critical", 4, IF(F32="High", 3, IF(F32="Medium", 2, 1)))</f>
        <v/>
      </c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>
        <f>IF(AND(D33="High", OR(E33="High", E33="Critical")), "Critical", IF(AND(D33="Medium", E33="Critical"), "Critical", IF(OR(AND(D33="High", E33="Medium"), AND(D33="Medium", E33="High")), "High", IF(OR(AND(D33="Low", E33="High"), AND(D33="Medium", E33="Medium")), "Medium", "Low"))))</f>
        <v/>
      </c>
      <c r="G33">
        <f>IF(F33="Critical", 4, IF(F33="High", 3, IF(F33="Medium", 2, 1)))</f>
        <v/>
      </c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>
        <f>IF(AND(D34="High", OR(E34="High", E34="Critical")), "Critical", IF(AND(D34="Medium", E34="Critical"), "Critical", IF(OR(AND(D34="High", E34="Medium"), AND(D34="Medium", E34="High")), "High", IF(OR(AND(D34="Low", E34="High"), AND(D34="Medium", E34="Medium")), "Medium", "Low"))))</f>
        <v/>
      </c>
      <c r="G34">
        <f>IF(F34="Critical", 4, IF(F34="High", 3, IF(F34="Medium", 2, 1)))</f>
        <v/>
      </c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>
        <f>IF(AND(D35="High", OR(E35="High", E35="Critical")), "Critical", IF(AND(D35="Medium", E35="Critical"), "Critical", IF(OR(AND(D35="High", E35="Medium"), AND(D35="Medium", E35="High")), "High", IF(OR(AND(D35="Low", E35="High"), AND(D35="Medium", E35="Medium")), "Medium", "Low"))))</f>
        <v/>
      </c>
      <c r="G35">
        <f>IF(F35="Critical", 4, IF(F35="High", 3, IF(F35="Medium", 2, 1)))</f>
        <v/>
      </c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>
        <f>IF(AND(D36="High", OR(E36="High", E36="Critical")), "Critical", IF(AND(D36="Medium", E36="Critical"), "Critical", IF(OR(AND(D36="High", E36="Medium"), AND(D36="Medium", E36="High")), "High", IF(OR(AND(D36="Low", E36="High"), AND(D36="Medium", E36="Medium")), "Medium", "Low"))))</f>
        <v/>
      </c>
      <c r="G36">
        <f>IF(F36="Critical", 4, IF(F36="High", 3, IF(F36="Medium", 2, 1)))</f>
        <v/>
      </c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>
        <f>IF(AND(D37="High", OR(E37="High", E37="Critical")), "Critical", IF(AND(D37="Medium", E37="Critical"), "Critical", IF(OR(AND(D37="High", E37="Medium"), AND(D37="Medium", E37="High")), "High", IF(OR(AND(D37="Low", E37="High"), AND(D37="Medium", E37="Medium")), "Medium", "Low"))))</f>
        <v/>
      </c>
      <c r="G37">
        <f>IF(F37="Critical", 4, IF(F37="High", 3, IF(F37="Medium", 2, 1)))</f>
        <v/>
      </c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>
        <f>IF(AND(D38="High", OR(E38="High", E38="Critical")), "Critical", IF(AND(D38="Medium", E38="Critical"), "Critical", IF(OR(AND(D38="High", E38="Medium"), AND(D38="Medium", E38="High")), "High", IF(OR(AND(D38="Low", E38="High"), AND(D38="Medium", E38="Medium")), "Medium", "Low"))))</f>
        <v/>
      </c>
      <c r="G38">
        <f>IF(F38="Critical", 4, IF(F38="High", 3, IF(F38="Medium", 2, 1)))</f>
        <v/>
      </c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>
        <f>IF(AND(D39="High", OR(E39="High", E39="Critical")), "Critical", IF(AND(D39="Medium", E39="Critical"), "Critical", IF(OR(AND(D39="High", E39="Medium"), AND(D39="Medium", E39="High")), "High", IF(OR(AND(D39="Low", E39="High"), AND(D39="Medium", E39="Medium")), "Medium", "Low"))))</f>
        <v/>
      </c>
      <c r="G39">
        <f>IF(F39="Critical", 4, IF(F39="High", 3, IF(F39="Medium", 2, 1)))</f>
        <v/>
      </c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>
        <f>IF(AND(D40="High", OR(E40="High", E40="Critical")), "Critical", IF(AND(D40="Medium", E40="Critical"), "Critical", IF(OR(AND(D40="High", E40="Medium"), AND(D40="Medium", E40="High")), "High", IF(OR(AND(D40="Low", E40="High"), AND(D40="Medium", E40="Medium")), "Medium", "Low"))))</f>
        <v/>
      </c>
      <c r="G40">
        <f>IF(F40="Critical", 4, IF(F40="High", 3, IF(F40="Medium", 2, 1)))</f>
        <v/>
      </c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>
        <f>IF(AND(D41="High", OR(E41="High", E41="Critical")), "Critical", IF(AND(D41="Medium", E41="Critical"), "Critical", IF(OR(AND(D41="High", E41="Medium"), AND(D41="Medium", E41="High")), "High", IF(OR(AND(D41="Low", E41="High"), AND(D41="Medium", E41="Medium")), "Medium", "Low"))))</f>
        <v/>
      </c>
      <c r="G41">
        <f>IF(F41="Critical", 4, IF(F41="High", 3, IF(F41="Medium", 2, 1)))</f>
        <v/>
      </c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>
        <f>IF(AND(D42="High", OR(E42="High", E42="Critical")), "Critical", IF(AND(D42="Medium", E42="Critical"), "Critical", IF(OR(AND(D42="High", E42="Medium"), AND(D42="Medium", E42="High")), "High", IF(OR(AND(D42="Low", E42="High"), AND(D42="Medium", E42="Medium")), "Medium", "Low"))))</f>
        <v/>
      </c>
      <c r="G42">
        <f>IF(F42="Critical", 4, IF(F42="High", 3, IF(F42="Medium", 2, 1)))</f>
        <v/>
      </c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>
        <f>IF(AND(D43="High", OR(E43="High", E43="Critical")), "Critical", IF(AND(D43="Medium", E43="Critical"), "Critical", IF(OR(AND(D43="High", E43="Medium"), AND(D43="Medium", E43="High")), "High", IF(OR(AND(D43="Low", E43="High"), AND(D43="Medium", E43="Medium")), "Medium", "Low"))))</f>
        <v/>
      </c>
      <c r="G43">
        <f>IF(F43="Critical", 4, IF(F43="High", 3, IF(F43="Medium", 2, 1)))</f>
        <v/>
      </c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>
        <f>IF(AND(D44="High", OR(E44="High", E44="Critical")), "Critical", IF(AND(D44="Medium", E44="Critical"), "Critical", IF(OR(AND(D44="High", E44="Medium"), AND(D44="Medium", E44="High")), "High", IF(OR(AND(D44="Low", E44="High"), AND(D44="Medium", E44="Medium")), "Medium", "Low"))))</f>
        <v/>
      </c>
      <c r="G44">
        <f>IF(F44="Critical", 4, IF(F44="High", 3, IF(F44="Medium", 2, 1)))</f>
        <v/>
      </c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>
        <f>IF(AND(D45="High", OR(E45="High", E45="Critical")), "Critical", IF(AND(D45="Medium", E45="Critical"), "Critical", IF(OR(AND(D45="High", E45="Medium"), AND(D45="Medium", E45="High")), "High", IF(OR(AND(D45="Low", E45="High"), AND(D45="Medium", E45="Medium")), "Medium", "Low"))))</f>
        <v/>
      </c>
      <c r="G45">
        <f>IF(F45="Critical", 4, IF(F45="High", 3, IF(F45="Medium", 2, 1)))</f>
        <v/>
      </c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>
        <f>IF(AND(D46="High", OR(E46="High", E46="Critical")), "Critical", IF(AND(D46="Medium", E46="Critical"), "Critical", IF(OR(AND(D46="High", E46="Medium"), AND(D46="Medium", E46="High")), "High", IF(OR(AND(D46="Low", E46="High"), AND(D46="Medium", E46="Medium")), "Medium", "Low"))))</f>
        <v/>
      </c>
      <c r="G46">
        <f>IF(F46="Critical", 4, IF(F46="High", 3, IF(F46="Medium", 2, 1)))</f>
        <v/>
      </c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>
        <f>IF(AND(D47="High", OR(E47="High", E47="Critical")), "Critical", IF(AND(D47="Medium", E47="Critical"), "Critical", IF(OR(AND(D47="High", E47="Medium"), AND(D47="Medium", E47="High")), "High", IF(OR(AND(D47="Low", E47="High"), AND(D47="Medium", E47="Medium")), "Medium", "Low"))))</f>
        <v/>
      </c>
      <c r="G47">
        <f>IF(F47="Critical", 4, IF(F47="High", 3, IF(F47="Medium", 2, 1)))</f>
        <v/>
      </c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>
        <f>IF(AND(D48="High", OR(E48="High", E48="Critical")), "Critical", IF(AND(D48="Medium", E48="Critical"), "Critical", IF(OR(AND(D48="High", E48="Medium"), AND(D48="Medium", E48="High")), "High", IF(OR(AND(D48="Low", E48="High"), AND(D48="Medium", E48="Medium")), "Medium", "Low"))))</f>
        <v/>
      </c>
      <c r="G48">
        <f>IF(F48="Critical", 4, IF(F48="High", 3, IF(F48="Medium", 2, 1)))</f>
        <v/>
      </c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>
        <f>IF(AND(D49="High", OR(E49="High", E49="Critical")), "Critical", IF(AND(D49="Medium", E49="Critical"), "Critical", IF(OR(AND(D49="High", E49="Medium"), AND(D49="Medium", E49="High")), "High", IF(OR(AND(D49="Low", E49="High"), AND(D49="Medium", E49="Medium")), "Medium", "Low"))))</f>
        <v/>
      </c>
      <c r="G49">
        <f>IF(F49="Critical", 4, IF(F49="High", 3, IF(F49="Medium", 2, 1)))</f>
        <v/>
      </c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>
        <f>IF(AND(D50="High", OR(E50="High", E50="Critical")), "Critical", IF(AND(D50="Medium", E50="Critical"), "Critical", IF(OR(AND(D50="High", E50="Medium"), AND(D50="Medium", E50="High")), "High", IF(OR(AND(D50="Low", E50="High"), AND(D50="Medium", E50="Medium")), "Medium", "Low"))))</f>
        <v/>
      </c>
      <c r="G50">
        <f>IF(F50="Critical", 4, IF(F50="High", 3, IF(F50="Medium", 2, 1)))</f>
        <v/>
      </c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>
        <f>IF(AND(D51="High", OR(E51="High", E51="Critical")), "Critical", IF(AND(D51="Medium", E51="Critical"), "Critical", IF(OR(AND(D51="High", E51="Medium"), AND(D51="Medium", E51="High")), "High", IF(OR(AND(D51="Low", E51="High"), AND(D51="Medium", E51="Medium")), "Medium", "Low"))))</f>
        <v/>
      </c>
      <c r="G51">
        <f>IF(F51="Critical", 4, IF(F51="High", 3, IF(F51="Medium", 2, 1)))</f>
        <v/>
      </c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>
        <f>IF(AND(D52="High", OR(E52="High", E52="Critical")), "Critical", IF(AND(D52="Medium", E52="Critical"), "Critical", IF(OR(AND(D52="High", E52="Medium"), AND(D52="Medium", E52="High")), "High", IF(OR(AND(D52="Low", E52="High"), AND(D52="Medium", E52="Medium")), "Medium", "Low"))))</f>
        <v/>
      </c>
      <c r="G52">
        <f>IF(F52="Critical", 4, IF(F52="High", 3, IF(F52="Medium", 2, 1)))</f>
        <v/>
      </c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>
        <f>IF(AND(D53="High", OR(E53="High", E53="Critical")), "Critical", IF(AND(D53="Medium", E53="Critical"), "Critical", IF(OR(AND(D53="High", E53="Medium"), AND(D53="Medium", E53="High")), "High", IF(OR(AND(D53="Low", E53="High"), AND(D53="Medium", E53="Medium")), "Medium", "Low"))))</f>
        <v/>
      </c>
      <c r="G53">
        <f>IF(F53="Critical", 4, IF(F53="High", 3, IF(F53="Medium", 2, 1)))</f>
        <v/>
      </c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>
        <f>IF(AND(D54="High", OR(E54="High", E54="Critical")), "Critical", IF(AND(D54="Medium", E54="Critical"), "Critical", IF(OR(AND(D54="High", E54="Medium"), AND(D54="Medium", E54="High")), "High", IF(OR(AND(D54="Low", E54="High"), AND(D54="Medium", E54="Medium")), "Medium", "Low"))))</f>
        <v/>
      </c>
      <c r="G54">
        <f>IF(F54="Critical", 4, IF(F54="High", 3, IF(F54="Medium", 2, 1)))</f>
        <v/>
      </c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>
        <f>IF(AND(D55="High", OR(E55="High", E55="Critical")), "Critical", IF(AND(D55="Medium", E55="Critical"), "Critical", IF(OR(AND(D55="High", E55="Medium"), AND(D55="Medium", E55="High")), "High", IF(OR(AND(D55="Low", E55="High"), AND(D55="Medium", E55="Medium")), "Medium", "Low"))))</f>
        <v/>
      </c>
      <c r="G55">
        <f>IF(F55="Critical", 4, IF(F55="High", 3, IF(F55="Medium", 2, 1)))</f>
        <v/>
      </c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>
        <f>IF(AND(D56="High", OR(E56="High", E56="Critical")), "Critical", IF(AND(D56="Medium", E56="Critical"), "Critical", IF(OR(AND(D56="High", E56="Medium"), AND(D56="Medium", E56="High")), "High", IF(OR(AND(D56="Low", E56="High"), AND(D56="Medium", E56="Medium")), "Medium", "Low"))))</f>
        <v/>
      </c>
      <c r="G56">
        <f>IF(F56="Critical", 4, IF(F56="High", 3, IF(F56="Medium", 2, 1)))</f>
        <v/>
      </c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>
        <f>IF(AND(D57="High", OR(E57="High", E57="Critical")), "Critical", IF(AND(D57="Medium", E57="Critical"), "Critical", IF(OR(AND(D57="High", E57="Medium"), AND(D57="Medium", E57="High")), "High", IF(OR(AND(D57="Low", E57="High"), AND(D57="Medium", E57="Medium")), "Medium", "Low"))))</f>
        <v/>
      </c>
      <c r="G57">
        <f>IF(F57="Critical", 4, IF(F57="High", 3, IF(F57="Medium", 2, 1)))</f>
        <v/>
      </c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>
        <f>IF(AND(D58="High", OR(E58="High", E58="Critical")), "Critical", IF(AND(D58="Medium", E58="Critical"), "Critical", IF(OR(AND(D58="High", E58="Medium"), AND(D58="Medium", E58="High")), "High", IF(OR(AND(D58="Low", E58="High"), AND(D58="Medium", E58="Medium")), "Medium", "Low"))))</f>
        <v/>
      </c>
      <c r="G58">
        <f>IF(F58="Critical", 4, IF(F58="High", 3, IF(F58="Medium", 2, 1)))</f>
        <v/>
      </c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>
        <f>IF(AND(D59="High", OR(E59="High", E59="Critical")), "Critical", IF(AND(D59="Medium", E59="Critical"), "Critical", IF(OR(AND(D59="High", E59="Medium"), AND(D59="Medium", E59="High")), "High", IF(OR(AND(D59="Low", E59="High"), AND(D59="Medium", E59="Medium")), "Medium", "Low"))))</f>
        <v/>
      </c>
      <c r="G59">
        <f>IF(F59="Critical", 4, IF(F59="High", 3, IF(F59="Medium", 2, 1)))</f>
        <v/>
      </c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>
        <f>IF(AND(D60="High", OR(E60="High", E60="Critical")), "Critical", IF(AND(D60="Medium", E60="Critical"), "Critical", IF(OR(AND(D60="High", E60="Medium"), AND(D60="Medium", E60="High")), "High", IF(OR(AND(D60="Low", E60="High"), AND(D60="Medium", E60="Medium")), "Medium", "Low"))))</f>
        <v/>
      </c>
      <c r="G60">
        <f>IF(F60="Critical", 4, IF(F60="High", 3, IF(F60="Medium", 2, 1)))</f>
        <v/>
      </c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>
        <f>IF(AND(D61="High", OR(E61="High", E61="Critical")), "Critical", IF(AND(D61="Medium", E61="Critical"), "Critical", IF(OR(AND(D61="High", E61="Medium"), AND(D61="Medium", E61="High")), "High", IF(OR(AND(D61="Low", E61="High"), AND(D61="Medium", E61="Medium")), "Medium", "Low"))))</f>
        <v/>
      </c>
      <c r="G61">
        <f>IF(F61="Critical", 4, IF(F61="High", 3, IF(F61="Medium", 2, 1)))</f>
        <v/>
      </c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>
        <f>IF(AND(D62="High", OR(E62="High", E62="Critical")), "Critical", IF(AND(D62="Medium", E62="Critical"), "Critical", IF(OR(AND(D62="High", E62="Medium"), AND(D62="Medium", E62="High")), "High", IF(OR(AND(D62="Low", E62="High"), AND(D62="Medium", E62="Medium")), "Medium", "Low"))))</f>
        <v/>
      </c>
      <c r="G62">
        <f>IF(F62="Critical", 4, IF(F62="High", 3, IF(F62="Medium", 2, 1)))</f>
        <v/>
      </c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>
        <f>IF(AND(D63="High", OR(E63="High", E63="Critical")), "Critical", IF(AND(D63="Medium", E63="Critical"), "Critical", IF(OR(AND(D63="High", E63="Medium"), AND(D63="Medium", E63="High")), "High", IF(OR(AND(D63="Low", E63="High"), AND(D63="Medium", E63="Medium")), "Medium", "Low"))))</f>
        <v/>
      </c>
      <c r="G63">
        <f>IF(F63="Critical", 4, IF(F63="High", 3, IF(F63="Medium", 2, 1)))</f>
        <v/>
      </c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>
        <f>IF(AND(D64="High", OR(E64="High", E64="Critical")), "Critical", IF(AND(D64="Medium", E64="Critical"), "Critical", IF(OR(AND(D64="High", E64="Medium"), AND(D64="Medium", E64="High")), "High", IF(OR(AND(D64="Low", E64="High"), AND(D64="Medium", E64="Medium")), "Medium", "Low"))))</f>
        <v/>
      </c>
      <c r="G64">
        <f>IF(F64="Critical", 4, IF(F64="High", 3, IF(F64="Medium", 2, 1)))</f>
        <v/>
      </c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>
        <f>IF(AND(D65="High", OR(E65="High", E65="Critical")), "Critical", IF(AND(D65="Medium", E65="Critical"), "Critical", IF(OR(AND(D65="High", E65="Medium"), AND(D65="Medium", E65="High")), "High", IF(OR(AND(D65="Low", E65="High"), AND(D65="Medium", E65="Medium")), "Medium", "Low"))))</f>
        <v/>
      </c>
      <c r="G65">
        <f>IF(F65="Critical", 4, IF(F65="High", 3, IF(F65="Medium", 2, 1)))</f>
        <v/>
      </c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>
        <f>IF(AND(D66="High", OR(E66="High", E66="Critical")), "Critical", IF(AND(D66="Medium", E66="Critical"), "Critical", IF(OR(AND(D66="High", E66="Medium"), AND(D66="Medium", E66="High")), "High", IF(OR(AND(D66="Low", E66="High"), AND(D66="Medium", E66="Medium")), "Medium", "Low"))))</f>
        <v/>
      </c>
      <c r="G66">
        <f>IF(F66="Critical", 4, IF(F66="High", 3, IF(F66="Medium", 2, 1)))</f>
        <v/>
      </c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>
        <f>IF(AND(D67="High", OR(E67="High", E67="Critical")), "Critical", IF(AND(D67="Medium", E67="Critical"), "Critical", IF(OR(AND(D67="High", E67="Medium"), AND(D67="Medium", E67="High")), "High", IF(OR(AND(D67="Low", E67="High"), AND(D67="Medium", E67="Medium")), "Medium", "Low"))))</f>
        <v/>
      </c>
      <c r="G67">
        <f>IF(F67="Critical", 4, IF(F67="High", 3, IF(F67="Medium", 2, 1)))</f>
        <v/>
      </c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>
        <f>IF(AND(D68="High", OR(E68="High", E68="Critical")), "Critical", IF(AND(D68="Medium", E68="Critical"), "Critical", IF(OR(AND(D68="High", E68="Medium"), AND(D68="Medium", E68="High")), "High", IF(OR(AND(D68="Low", E68="High"), AND(D68="Medium", E68="Medium")), "Medium", "Low"))))</f>
        <v/>
      </c>
      <c r="G68">
        <f>IF(F68="Critical", 4, IF(F68="High", 3, IF(F68="Medium", 2, 1)))</f>
        <v/>
      </c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>
        <f>IF(AND(D69="High", OR(E69="High", E69="Critical")), "Critical", IF(AND(D69="Medium", E69="Critical"), "Critical", IF(OR(AND(D69="High", E69="Medium"), AND(D69="Medium", E69="High")), "High", IF(OR(AND(D69="Low", E69="High"), AND(D69="Medium", E69="Medium")), "Medium", "Low"))))</f>
        <v/>
      </c>
      <c r="G69">
        <f>IF(F69="Critical", 4, IF(F69="High", 3, IF(F69="Medium", 2, 1)))</f>
        <v/>
      </c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>
        <f>IF(AND(D70="High", OR(E70="High", E70="Critical")), "Critical", IF(AND(D70="Medium", E70="Critical"), "Critical", IF(OR(AND(D70="High", E70="Medium"), AND(D70="Medium", E70="High")), "High", IF(OR(AND(D70="Low", E70="High"), AND(D70="Medium", E70="Medium")), "Medium", "Low"))))</f>
        <v/>
      </c>
      <c r="G70">
        <f>IF(F70="Critical", 4, IF(F70="High", 3, IF(F70="Medium", 2, 1)))</f>
        <v/>
      </c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>
        <f>IF(AND(D71="High", OR(E71="High", E71="Critical")), "Critical", IF(AND(D71="Medium", E71="Critical"), "Critical", IF(OR(AND(D71="High", E71="Medium"), AND(D71="Medium", E71="High")), "High", IF(OR(AND(D71="Low", E71="High"), AND(D71="Medium", E71="Medium")), "Medium", "Low"))))</f>
        <v/>
      </c>
      <c r="G71">
        <f>IF(F71="Critical", 4, IF(F71="High", 3, IF(F71="Medium", 2, 1)))</f>
        <v/>
      </c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>
        <f>IF(AND(D72="High", OR(E72="High", E72="Critical")), "Critical", IF(AND(D72="Medium", E72="Critical"), "Critical", IF(OR(AND(D72="High", E72="Medium"), AND(D72="Medium", E72="High")), "High", IF(OR(AND(D72="Low", E72="High"), AND(D72="Medium", E72="Medium")), "Medium", "Low"))))</f>
        <v/>
      </c>
      <c r="G72">
        <f>IF(F72="Critical", 4, IF(F72="High", 3, IF(F72="Medium", 2, 1)))</f>
        <v/>
      </c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>
        <f>IF(AND(D73="High", OR(E73="High", E73="Critical")), "Critical", IF(AND(D73="Medium", E73="Critical"), "Critical", IF(OR(AND(D73="High", E73="Medium"), AND(D73="Medium", E73="High")), "High", IF(OR(AND(D73="Low", E73="High"), AND(D73="Medium", E73="Medium")), "Medium", "Low"))))</f>
        <v/>
      </c>
      <c r="G73">
        <f>IF(F73="Critical", 4, IF(F73="High", 3, IF(F73="Medium", 2, 1)))</f>
        <v/>
      </c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>
        <f>IF(AND(D74="High", OR(E74="High", E74="Critical")), "Critical", IF(AND(D74="Medium", E74="Critical"), "Critical", IF(OR(AND(D74="High", E74="Medium"), AND(D74="Medium", E74="High")), "High", IF(OR(AND(D74="Low", E74="High"), AND(D74="Medium", E74="Medium")), "Medium", "Low"))))</f>
        <v/>
      </c>
      <c r="G74">
        <f>IF(F74="Critical", 4, IF(F74="High", 3, IF(F74="Medium", 2, 1)))</f>
        <v/>
      </c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>
        <f>IF(AND(D75="High", OR(E75="High", E75="Critical")), "Critical", IF(AND(D75="Medium", E75="Critical"), "Critical", IF(OR(AND(D75="High", E75="Medium"), AND(D75="Medium", E75="High")), "High", IF(OR(AND(D75="Low", E75="High"), AND(D75="Medium", E75="Medium")), "Medium", "Low"))))</f>
        <v/>
      </c>
      <c r="G75">
        <f>IF(F75="Critical", 4, IF(F75="High", 3, IF(F75="Medium", 2, 1)))</f>
        <v/>
      </c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>
        <f>IF(AND(D76="High", OR(E76="High", E76="Critical")), "Critical", IF(AND(D76="Medium", E76="Critical"), "Critical", IF(OR(AND(D76="High", E76="Medium"), AND(D76="Medium", E76="High")), "High", IF(OR(AND(D76="Low", E76="High"), AND(D76="Medium", E76="Medium")), "Medium", "Low"))))</f>
        <v/>
      </c>
      <c r="G76">
        <f>IF(F76="Critical", 4, IF(F76="High", 3, IF(F76="Medium", 2, 1)))</f>
        <v/>
      </c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>
        <f>IF(AND(D77="High", OR(E77="High", E77="Critical")), "Critical", IF(AND(D77="Medium", E77="Critical"), "Critical", IF(OR(AND(D77="High", E77="Medium"), AND(D77="Medium", E77="High")), "High", IF(OR(AND(D77="Low", E77="High"), AND(D77="Medium", E77="Medium")), "Medium", "Low"))))</f>
        <v/>
      </c>
      <c r="G77">
        <f>IF(F77="Critical", 4, IF(F77="High", 3, IF(F77="Medium", 2, 1)))</f>
        <v/>
      </c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>
        <f>IF(AND(D78="High", OR(E78="High", E78="Critical")), "Critical", IF(AND(D78="Medium", E78="Critical"), "Critical", IF(OR(AND(D78="High", E78="Medium"), AND(D78="Medium", E78="High")), "High", IF(OR(AND(D78="Low", E78="High"), AND(D78="Medium", E78="Medium")), "Medium", "Low"))))</f>
        <v/>
      </c>
      <c r="G78">
        <f>IF(F78="Critical", 4, IF(F78="High", 3, IF(F78="Medium", 2, 1)))</f>
        <v/>
      </c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>
        <f>IF(AND(D79="High", OR(E79="High", E79="Critical")), "Critical", IF(AND(D79="Medium", E79="Critical"), "Critical", IF(OR(AND(D79="High", E79="Medium"), AND(D79="Medium", E79="High")), "High", IF(OR(AND(D79="Low", E79="High"), AND(D79="Medium", E79="Medium")), "Medium", "Low"))))</f>
        <v/>
      </c>
      <c r="G79">
        <f>IF(F79="Critical", 4, IF(F79="High", 3, IF(F79="Medium", 2, 1)))</f>
        <v/>
      </c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>
        <f>IF(AND(D80="High", OR(E80="High", E80="Critical")), "Critical", IF(AND(D80="Medium", E80="Critical"), "Critical", IF(OR(AND(D80="High", E80="Medium"), AND(D80="Medium", E80="High")), "High", IF(OR(AND(D80="Low", E80="High"), AND(D80="Medium", E80="Medium")), "Medium", "Low"))))</f>
        <v/>
      </c>
      <c r="G80">
        <f>IF(F80="Critical", 4, IF(F80="High", 3, IF(F80="Medium", 2, 1)))</f>
        <v/>
      </c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>
        <f>IF(AND(D81="High", OR(E81="High", E81="Critical")), "Critical", IF(AND(D81="Medium", E81="Critical"), "Critical", IF(OR(AND(D81="High", E81="Medium"), AND(D81="Medium", E81="High")), "High", IF(OR(AND(D81="Low", E81="High"), AND(D81="Medium", E81="Medium")), "Medium", "Low"))))</f>
        <v/>
      </c>
      <c r="G81">
        <f>IF(F81="Critical", 4, IF(F81="High", 3, IF(F81="Medium", 2, 1)))</f>
        <v/>
      </c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>
        <f>IF(AND(D82="High", OR(E82="High", E82="Critical")), "Critical", IF(AND(D82="Medium", E82="Critical"), "Critical", IF(OR(AND(D82="High", E82="Medium"), AND(D82="Medium", E82="High")), "High", IF(OR(AND(D82="Low", E82="High"), AND(D82="Medium", E82="Medium")), "Medium", "Low"))))</f>
        <v/>
      </c>
      <c r="G82">
        <f>IF(F82="Critical", 4, IF(F82="High", 3, IF(F82="Medium", 2, 1)))</f>
        <v/>
      </c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>
        <f>IF(AND(D83="High", OR(E83="High", E83="Critical")), "Critical", IF(AND(D83="Medium", E83="Critical"), "Critical", IF(OR(AND(D83="High", E83="Medium"), AND(D83="Medium", E83="High")), "High", IF(OR(AND(D83="Low", E83="High"), AND(D83="Medium", E83="Medium")), "Medium", "Low"))))</f>
        <v/>
      </c>
      <c r="G83">
        <f>IF(F83="Critical", 4, IF(F83="High", 3, IF(F83="Medium", 2, 1)))</f>
        <v/>
      </c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>
        <f>IF(AND(D84="High", OR(E84="High", E84="Critical")), "Critical", IF(AND(D84="Medium", E84="Critical"), "Critical", IF(OR(AND(D84="High", E84="Medium"), AND(D84="Medium", E84="High")), "High", IF(OR(AND(D84="Low", E84="High"), AND(D84="Medium", E84="Medium")), "Medium", "Low"))))</f>
        <v/>
      </c>
      <c r="G84">
        <f>IF(F84="Critical", 4, IF(F84="High", 3, IF(F84="Medium", 2, 1)))</f>
        <v/>
      </c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>
        <f>IF(AND(D85="High", OR(E85="High", E85="Critical")), "Critical", IF(AND(D85="Medium", E85="Critical"), "Critical", IF(OR(AND(D85="High", E85="Medium"), AND(D85="Medium", E85="High")), "High", IF(OR(AND(D85="Low", E85="High"), AND(D85="Medium", E85="Medium")), "Medium", "Low"))))</f>
        <v/>
      </c>
      <c r="G85">
        <f>IF(F85="Critical", 4, IF(F85="High", 3, IF(F85="Medium", 2, 1)))</f>
        <v/>
      </c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>
        <f>IF(AND(D86="High", OR(E86="High", E86="Critical")), "Critical", IF(AND(D86="Medium", E86="Critical"), "Critical", IF(OR(AND(D86="High", E86="Medium"), AND(D86="Medium", E86="High")), "High", IF(OR(AND(D86="Low", E86="High"), AND(D86="Medium", E86="Medium")), "Medium", "Low"))))</f>
        <v/>
      </c>
      <c r="G86">
        <f>IF(F86="Critical", 4, IF(F86="High", 3, IF(F86="Medium", 2, 1)))</f>
        <v/>
      </c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>
        <f>IF(AND(D87="High", OR(E87="High", E87="Critical")), "Critical", IF(AND(D87="Medium", E87="Critical"), "Critical", IF(OR(AND(D87="High", E87="Medium"), AND(D87="Medium", E87="High")), "High", IF(OR(AND(D87="Low", E87="High"), AND(D87="Medium", E87="Medium")), "Medium", "Low"))))</f>
        <v/>
      </c>
      <c r="G87">
        <f>IF(F87="Critical", 4, IF(F87="High", 3, IF(F87="Medium", 2, 1)))</f>
        <v/>
      </c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>
        <f>IF(AND(D88="High", OR(E88="High", E88="Critical")), "Critical", IF(AND(D88="Medium", E88="Critical"), "Critical", IF(OR(AND(D88="High", E88="Medium"), AND(D88="Medium", E88="High")), "High", IF(OR(AND(D88="Low", E88="High"), AND(D88="Medium", E88="Medium")), "Medium", "Low"))))</f>
        <v/>
      </c>
      <c r="G88">
        <f>IF(F88="Critical", 4, IF(F88="High", 3, IF(F88="Medium", 2, 1)))</f>
        <v/>
      </c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>
        <f>IF(AND(D89="High", OR(E89="High", E89="Critical")), "Critical", IF(AND(D89="Medium", E89="Critical"), "Critical", IF(OR(AND(D89="High", E89="Medium"), AND(D89="Medium", E89="High")), "High", IF(OR(AND(D89="Low", E89="High"), AND(D89="Medium", E89="Medium")), "Medium", "Low"))))</f>
        <v/>
      </c>
      <c r="G89">
        <f>IF(F89="Critical", 4, IF(F89="High", 3, IF(F89="Medium", 2, 1)))</f>
        <v/>
      </c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>
        <f>IF(AND(D90="High", OR(E90="High", E90="Critical")), "Critical", IF(AND(D90="Medium", E90="Critical"), "Critical", IF(OR(AND(D90="High", E90="Medium"), AND(D90="Medium", E90="High")), "High", IF(OR(AND(D90="Low", E90="High"), AND(D90="Medium", E90="Medium")), "Medium", "Low"))))</f>
        <v/>
      </c>
      <c r="G90">
        <f>IF(F90="Critical", 4, IF(F90="High", 3, IF(F90="Medium", 2, 1)))</f>
        <v/>
      </c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>
        <f>IF(AND(D91="High", OR(E91="High", E91="Critical")), "Critical", IF(AND(D91="Medium", E91="Critical"), "Critical", IF(OR(AND(D91="High", E91="Medium"), AND(D91="Medium", E91="High")), "High", IF(OR(AND(D91="Low", E91="High"), AND(D91="Medium", E91="Medium")), "Medium", "Low"))))</f>
        <v/>
      </c>
      <c r="G91">
        <f>IF(F91="Critical", 4, IF(F91="High", 3, IF(F91="Medium", 2, 1)))</f>
        <v/>
      </c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>
        <f>IF(AND(D92="High", OR(E92="High", E92="Critical")), "Critical", IF(AND(D92="Medium", E92="Critical"), "Critical", IF(OR(AND(D92="High", E92="Medium"), AND(D92="Medium", E92="High")), "High", IF(OR(AND(D92="Low", E92="High"), AND(D92="Medium", E92="Medium")), "Medium", "Low"))))</f>
        <v/>
      </c>
      <c r="G92">
        <f>IF(F92="Critical", 4, IF(F92="High", 3, IF(F92="Medium", 2, 1)))</f>
        <v/>
      </c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>
        <f>IF(AND(D93="High", OR(E93="High", E93="Critical")), "Critical", IF(AND(D93="Medium", E93="Critical"), "Critical", IF(OR(AND(D93="High", E93="Medium"), AND(D93="Medium", E93="High")), "High", IF(OR(AND(D93="Low", E93="High"), AND(D93="Medium", E93="Medium")), "Medium", "Low"))))</f>
        <v/>
      </c>
      <c r="G93">
        <f>IF(F93="Critical", 4, IF(F93="High", 3, IF(F93="Medium", 2, 1)))</f>
        <v/>
      </c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>
        <f>IF(AND(D94="High", OR(E94="High", E94="Critical")), "Critical", IF(AND(D94="Medium", E94="Critical"), "Critical", IF(OR(AND(D94="High", E94="Medium"), AND(D94="Medium", E94="High")), "High", IF(OR(AND(D94="Low", E94="High"), AND(D94="Medium", E94="Medium")), "Medium", "Low"))))</f>
        <v/>
      </c>
      <c r="G94">
        <f>IF(F94="Critical", 4, IF(F94="High", 3, IF(F94="Medium", 2, 1)))</f>
        <v/>
      </c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>
        <f>IF(AND(D95="High", OR(E95="High", E95="Critical")), "Critical", IF(AND(D95="Medium", E95="Critical"), "Critical", IF(OR(AND(D95="High", E95="Medium"), AND(D95="Medium", E95="High")), "High", IF(OR(AND(D95="Low", E95="High"), AND(D95="Medium", E95="Medium")), "Medium", "Low"))))</f>
        <v/>
      </c>
      <c r="G95">
        <f>IF(F95="Critical", 4, IF(F95="High", 3, IF(F95="Medium", 2, 1)))</f>
        <v/>
      </c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>
        <f>IF(AND(D96="High", OR(E96="High", E96="Critical")), "Critical", IF(AND(D96="Medium", E96="Critical"), "Critical", IF(OR(AND(D96="High", E96="Medium"), AND(D96="Medium", E96="High")), "High", IF(OR(AND(D96="Low", E96="High"), AND(D96="Medium", E96="Medium")), "Medium", "Low"))))</f>
        <v/>
      </c>
      <c r="G96">
        <f>IF(F96="Critical", 4, IF(F96="High", 3, IF(F96="Medium", 2, 1)))</f>
        <v/>
      </c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>
        <f>IF(AND(D97="High", OR(E97="High", E97="Critical")), "Critical", IF(AND(D97="Medium", E97="Critical"), "Critical", IF(OR(AND(D97="High", E97="Medium"), AND(D97="Medium", E97="High")), "High", IF(OR(AND(D97="Low", E97="High"), AND(D97="Medium", E97="Medium")), "Medium", "Low"))))</f>
        <v/>
      </c>
      <c r="G97">
        <f>IF(F97="Critical", 4, IF(F97="High", 3, IF(F97="Medium", 2, 1)))</f>
        <v/>
      </c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>
        <f>IF(AND(D98="High", OR(E98="High", E98="Critical")), "Critical", IF(AND(D98="Medium", E98="Critical"), "Critical", IF(OR(AND(D98="High", E98="Medium"), AND(D98="Medium", E98="High")), "High", IF(OR(AND(D98="Low", E98="High"), AND(D98="Medium", E98="Medium")), "Medium", "Low"))))</f>
        <v/>
      </c>
      <c r="G98">
        <f>IF(F98="Critical", 4, IF(F98="High", 3, IF(F98="Medium", 2, 1)))</f>
        <v/>
      </c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>
        <f>IF(AND(D99="High", OR(E99="High", E99="Critical")), "Critical", IF(AND(D99="Medium", E99="Critical"), "Critical", IF(OR(AND(D99="High", E99="Medium"), AND(D99="Medium", E99="High")), "High", IF(OR(AND(D99="Low", E99="High"), AND(D99="Medium", E99="Medium")), "Medium", "Low"))))</f>
        <v/>
      </c>
      <c r="G99">
        <f>IF(F99="Critical", 4, IF(F99="High", 3, IF(F99="Medium", 2, 1)))</f>
        <v/>
      </c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>
        <f>IF(AND(D100="High", OR(E100="High", E100="Critical")), "Critical", IF(AND(D100="Medium", E100="Critical"), "Critical", IF(OR(AND(D100="High", E100="Medium"), AND(D100="Medium", E100="High")), "High", IF(OR(AND(D100="Low", E100="High"), AND(D100="Medium", E100="Medium")), "Medium", "Low"))))</f>
        <v/>
      </c>
      <c r="G100">
        <f>IF(F100="Critical", 4, IF(F100="High", 3, IF(F100="Medium", 2, 1)))</f>
        <v/>
      </c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>
        <f>IF(AND(D101="High", OR(E101="High", E101="Critical")), "Critical", IF(AND(D101="Medium", E101="Critical"), "Critical", IF(OR(AND(D101="High", E101="Medium"), AND(D101="Medium", E101="High")), "High", IF(OR(AND(D101="Low", E101="High"), AND(D101="Medium", E101="Medium")), "Medium", "Low"))))</f>
        <v/>
      </c>
      <c r="G101">
        <f>IF(F101="Critical", 4, IF(F101="High", 3, IF(F101="Medium", 2, 1)))</f>
        <v/>
      </c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>
        <f>IF(AND(D102="High", OR(E102="High", E102="Critical")), "Critical", IF(AND(D102="Medium", E102="Critical"), "Critical", IF(OR(AND(D102="High", E102="Medium"), AND(D102="Medium", E102="High")), "High", IF(OR(AND(D102="Low", E102="High"), AND(D102="Medium", E102="Medium")), "Medium", "Low"))))</f>
        <v/>
      </c>
      <c r="G102">
        <f>IF(F102="Critical", 4, IF(F102="High", 3, IF(F102="Medium", 2, 1)))</f>
        <v/>
      </c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>
        <f>IF(AND(D103="High", OR(E103="High", E103="Critical")), "Critical", IF(AND(D103="Medium", E103="Critical"), "Critical", IF(OR(AND(D103="High", E103="Medium"), AND(D103="Medium", E103="High")), "High", IF(OR(AND(D103="Low", E103="High"), AND(D103="Medium", E103="Medium")), "Medium", "Low"))))</f>
        <v/>
      </c>
      <c r="G103">
        <f>IF(F103="Critical", 4, IF(F103="High", 3, IF(F103="Medium", 2, 1)))</f>
        <v/>
      </c>
      <c r="H103" s="4" t="n"/>
      <c r="I103" s="4" t="n"/>
      <c r="J103" s="4" t="n"/>
    </row>
    <row r="104">
      <c r="A104" s="4" t="n"/>
      <c r="B104" s="4" t="n"/>
      <c r="C104" s="4" t="n"/>
      <c r="D104" s="4" t="n"/>
      <c r="E104" s="4" t="n"/>
      <c r="F104">
        <f>IF(AND(D104="High", OR(E104="High", E104="Critical")), "Critical", IF(AND(D104="Medium", E104="Critical"), "Critical", IF(OR(AND(D104="High", E104="Medium"), AND(D104="Medium", E104="High")), "High", IF(OR(AND(D104="Low", E104="High"), AND(D104="Medium", E104="Medium")), "Medium", "Low"))))</f>
        <v/>
      </c>
      <c r="G104">
        <f>IF(F104="Critical", 4, IF(F104="High", 3, IF(F104="Medium", 2, 1)))</f>
        <v/>
      </c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>
        <f>IF(AND(D105="High", OR(E105="High", E105="Critical")), "Critical", IF(AND(D105="Medium", E105="Critical"), "Critical", IF(OR(AND(D105="High", E105="Medium"), AND(D105="Medium", E105="High")), "High", IF(OR(AND(D105="Low", E105="High"), AND(D105="Medium", E105="Medium")), "Medium", "Low"))))</f>
        <v/>
      </c>
      <c r="G105">
        <f>IF(F105="Critical", 4, IF(F105="High", 3, IF(F105="Medium", 2, 1)))</f>
        <v/>
      </c>
      <c r="H105" s="4" t="n"/>
      <c r="I105" s="4" t="n"/>
      <c r="J105" s="4" t="n"/>
    </row>
    <row r="106">
      <c r="A106" s="4" t="n"/>
      <c r="B106" s="4" t="n"/>
      <c r="C106" s="4" t="n"/>
      <c r="D106" s="4" t="n"/>
      <c r="E106" s="4" t="n"/>
      <c r="F106">
        <f>IF(AND(D106="High", OR(E106="High", E106="Critical")), "Critical", IF(AND(D106="Medium", E106="Critical"), "Critical", IF(OR(AND(D106="High", E106="Medium"), AND(D106="Medium", E106="High")), "High", IF(OR(AND(D106="Low", E106="High"), AND(D106="Medium", E106="Medium")), "Medium", "Low"))))</f>
        <v/>
      </c>
      <c r="G106">
        <f>IF(F106="Critical", 4, IF(F106="High", 3, IF(F106="Medium", 2, 1)))</f>
        <v/>
      </c>
      <c r="H106" s="4" t="n"/>
      <c r="I106" s="4" t="n"/>
      <c r="J106" s="4" t="n"/>
    </row>
    <row r="107">
      <c r="A107" s="4" t="n"/>
      <c r="B107" s="4" t="n"/>
      <c r="C107" s="4" t="n"/>
      <c r="D107" s="4" t="n"/>
      <c r="E107" s="4" t="n"/>
      <c r="F107">
        <f>IF(AND(D107="High", OR(E107="High", E107="Critical")), "Critical", IF(AND(D107="Medium", E107="Critical"), "Critical", IF(OR(AND(D107="High", E107="Medium"), AND(D107="Medium", E107="High")), "High", IF(OR(AND(D107="Low", E107="High"), AND(D107="Medium", E107="Medium")), "Medium", "Low"))))</f>
        <v/>
      </c>
      <c r="G107">
        <f>IF(F107="Critical", 4, IF(F107="High", 3, IF(F107="Medium", 2, 1)))</f>
        <v/>
      </c>
      <c r="H107" s="4" t="n"/>
      <c r="I107" s="4" t="n"/>
      <c r="J107" s="4" t="n"/>
    </row>
    <row r="108">
      <c r="A108" s="4" t="n"/>
      <c r="B108" s="4" t="n"/>
      <c r="C108" s="4" t="n"/>
      <c r="D108" s="4" t="n"/>
      <c r="E108" s="4" t="n"/>
      <c r="F108">
        <f>IF(AND(D108="High", OR(E108="High", E108="Critical")), "Critical", IF(AND(D108="Medium", E108="Critical"), "Critical", IF(OR(AND(D108="High", E108="Medium"), AND(D108="Medium", E108="High")), "High", IF(OR(AND(D108="Low", E108="High"), AND(D108="Medium", E108="Medium")), "Medium", "Low"))))</f>
        <v/>
      </c>
      <c r="G108">
        <f>IF(F108="Critical", 4, IF(F108="High", 3, IF(F108="Medium", 2, 1)))</f>
        <v/>
      </c>
      <c r="H108" s="4" t="n"/>
      <c r="I108" s="4" t="n"/>
      <c r="J108" s="4" t="n"/>
    </row>
    <row r="109">
      <c r="A109" s="4" t="n"/>
      <c r="B109" s="4" t="n"/>
      <c r="C109" s="4" t="n"/>
      <c r="D109" s="4" t="n"/>
      <c r="E109" s="4" t="n"/>
      <c r="F109">
        <f>IF(AND(D109="High", OR(E109="High", E109="Critical")), "Critical", IF(AND(D109="Medium", E109="Critical"), "Critical", IF(OR(AND(D109="High", E109="Medium"), AND(D109="Medium", E109="High")), "High", IF(OR(AND(D109="Low", E109="High"), AND(D109="Medium", E109="Medium")), "Medium", "Low"))))</f>
        <v/>
      </c>
      <c r="G109">
        <f>IF(F109="Critical", 4, IF(F109="High", 3, IF(F109="Medium", 2, 1)))</f>
        <v/>
      </c>
      <c r="H109" s="4" t="n"/>
      <c r="I109" s="4" t="n"/>
      <c r="J109" s="4" t="n"/>
    </row>
    <row r="110">
      <c r="A110" s="4" t="n"/>
      <c r="B110" s="4" t="n"/>
      <c r="C110" s="4" t="n"/>
      <c r="D110" s="4" t="n"/>
      <c r="E110" s="4" t="n"/>
      <c r="F110">
        <f>IF(AND(D110="High", OR(E110="High", E110="Critical")), "Critical", IF(AND(D110="Medium", E110="Critical"), "Critical", IF(OR(AND(D110="High", E110="Medium"), AND(D110="Medium", E110="High")), "High", IF(OR(AND(D110="Low", E110="High"), AND(D110="Medium", E110="Medium")), "Medium", "Low"))))</f>
        <v/>
      </c>
      <c r="G110">
        <f>IF(F110="Critical", 4, IF(F110="High", 3, IF(F110="Medium", 2, 1)))</f>
        <v/>
      </c>
      <c r="H110" s="4" t="n"/>
      <c r="I110" s="4" t="n"/>
      <c r="J110" s="4" t="n"/>
    </row>
    <row r="111">
      <c r="A111" s="4" t="n"/>
      <c r="B111" s="4" t="n"/>
      <c r="C111" s="4" t="n"/>
      <c r="D111" s="4" t="n"/>
      <c r="E111" s="4" t="n"/>
      <c r="F111">
        <f>IF(AND(D111="High", OR(E111="High", E111="Critical")), "Critical", IF(AND(D111="Medium", E111="Critical"), "Critical", IF(OR(AND(D111="High", E111="Medium"), AND(D111="Medium", E111="High")), "High", IF(OR(AND(D111="Low", E111="High"), AND(D111="Medium", E111="Medium")), "Medium", "Low"))))</f>
        <v/>
      </c>
      <c r="G111">
        <f>IF(F111="Critical", 4, IF(F111="High", 3, IF(F111="Medium", 2, 1)))</f>
        <v/>
      </c>
      <c r="H111" s="4" t="n"/>
      <c r="I111" s="4" t="n"/>
      <c r="J111" s="4" t="n"/>
    </row>
    <row r="112">
      <c r="A112" s="4" t="n"/>
      <c r="B112" s="4" t="n"/>
      <c r="C112" s="4" t="n"/>
      <c r="D112" s="4" t="n"/>
      <c r="E112" s="4" t="n"/>
      <c r="F112">
        <f>IF(AND(D112="High", OR(E112="High", E112="Critical")), "Critical", IF(AND(D112="Medium", E112="Critical"), "Critical", IF(OR(AND(D112="High", E112="Medium"), AND(D112="Medium", E112="High")), "High", IF(OR(AND(D112="Low", E112="High"), AND(D112="Medium", E112="Medium")), "Medium", "Low"))))</f>
        <v/>
      </c>
      <c r="G112">
        <f>IF(F112="Critical", 4, IF(F112="High", 3, IF(F112="Medium", 2, 1)))</f>
        <v/>
      </c>
      <c r="H112" s="4" t="n"/>
      <c r="I112" s="4" t="n"/>
      <c r="J112" s="4" t="n"/>
    </row>
    <row r="113">
      <c r="A113" s="4" t="n"/>
      <c r="B113" s="4" t="n"/>
      <c r="C113" s="4" t="n"/>
      <c r="D113" s="4" t="n"/>
      <c r="E113" s="4" t="n"/>
      <c r="F113">
        <f>IF(AND(D113="High", OR(E113="High", E113="Critical")), "Critical", IF(AND(D113="Medium", E113="Critical"), "Critical", IF(OR(AND(D113="High", E113="Medium"), AND(D113="Medium", E113="High")), "High", IF(OR(AND(D113="Low", E113="High"), AND(D113="Medium", E113="Medium")), "Medium", "Low"))))</f>
        <v/>
      </c>
      <c r="G113">
        <f>IF(F113="Critical", 4, IF(F113="High", 3, IF(F113="Medium", 2, 1)))</f>
        <v/>
      </c>
      <c r="H113" s="4" t="n"/>
      <c r="I113" s="4" t="n"/>
      <c r="J113" s="4" t="n"/>
    </row>
    <row r="114">
      <c r="A114" s="4" t="n"/>
      <c r="B114" s="4" t="n"/>
      <c r="C114" s="4" t="n"/>
      <c r="D114" s="4" t="n"/>
      <c r="E114" s="4" t="n"/>
      <c r="F114">
        <f>IF(AND(D114="High", OR(E114="High", E114="Critical")), "Critical", IF(AND(D114="Medium", E114="Critical"), "Critical", IF(OR(AND(D114="High", E114="Medium"), AND(D114="Medium", E114="High")), "High", IF(OR(AND(D114="Low", E114="High"), AND(D114="Medium", E114="Medium")), "Medium", "Low"))))</f>
        <v/>
      </c>
      <c r="G114">
        <f>IF(F114="Critical", 4, IF(F114="High", 3, IF(F114="Medium", 2, 1)))</f>
        <v/>
      </c>
      <c r="H114" s="4" t="n"/>
      <c r="I114" s="4" t="n"/>
      <c r="J114" s="4" t="n"/>
    </row>
    <row r="115">
      <c r="A115" s="4" t="n"/>
      <c r="B115" s="4" t="n"/>
      <c r="C115" s="4" t="n"/>
      <c r="D115" s="4" t="n"/>
      <c r="E115" s="4" t="n"/>
      <c r="F115">
        <f>IF(AND(D115="High", OR(E115="High", E115="Critical")), "Critical", IF(AND(D115="Medium", E115="Critical"), "Critical", IF(OR(AND(D115="High", E115="Medium"), AND(D115="Medium", E115="High")), "High", IF(OR(AND(D115="Low", E115="High"), AND(D115="Medium", E115="Medium")), "Medium", "Low"))))</f>
        <v/>
      </c>
      <c r="G115">
        <f>IF(F115="Critical", 4, IF(F115="High", 3, IF(F115="Medium", 2, 1)))</f>
        <v/>
      </c>
      <c r="H115" s="4" t="n"/>
      <c r="I115" s="4" t="n"/>
      <c r="J115" s="4" t="n"/>
    </row>
    <row r="116">
      <c r="A116" s="4" t="n"/>
      <c r="B116" s="4" t="n"/>
      <c r="C116" s="4" t="n"/>
      <c r="D116" s="4" t="n"/>
      <c r="E116" s="4" t="n"/>
      <c r="F116">
        <f>IF(AND(D116="High", OR(E116="High", E116="Critical")), "Critical", IF(AND(D116="Medium", E116="Critical"), "Critical", IF(OR(AND(D116="High", E116="Medium"), AND(D116="Medium", E116="High")), "High", IF(OR(AND(D116="Low", E116="High"), AND(D116="Medium", E116="Medium")), "Medium", "Low"))))</f>
        <v/>
      </c>
      <c r="G116">
        <f>IF(F116="Critical", 4, IF(F116="High", 3, IF(F116="Medium", 2, 1)))</f>
        <v/>
      </c>
      <c r="H116" s="4" t="n"/>
      <c r="I116" s="4" t="n"/>
      <c r="J116" s="4" t="n"/>
    </row>
    <row r="117">
      <c r="A117" s="4" t="n"/>
      <c r="B117" s="4" t="n"/>
      <c r="C117" s="4" t="n"/>
      <c r="D117" s="4" t="n"/>
      <c r="E117" s="4" t="n"/>
      <c r="F117">
        <f>IF(AND(D117="High", OR(E117="High", E117="Critical")), "Critical", IF(AND(D117="Medium", E117="Critical"), "Critical", IF(OR(AND(D117="High", E117="Medium"), AND(D117="Medium", E117="High")), "High", IF(OR(AND(D117="Low", E117="High"), AND(D117="Medium", E117="Medium")), "Medium", "Low"))))</f>
        <v/>
      </c>
      <c r="G117">
        <f>IF(F117="Critical", 4, IF(F117="High", 3, IF(F117="Medium", 2, 1)))</f>
        <v/>
      </c>
      <c r="H117" s="4" t="n"/>
      <c r="I117" s="4" t="n"/>
      <c r="J117" s="4" t="n"/>
    </row>
    <row r="118">
      <c r="A118" s="4" t="n"/>
      <c r="B118" s="4" t="n"/>
      <c r="C118" s="4" t="n"/>
      <c r="D118" s="4" t="n"/>
      <c r="E118" s="4" t="n"/>
      <c r="F118">
        <f>IF(AND(D118="High", OR(E118="High", E118="Critical")), "Critical", IF(AND(D118="Medium", E118="Critical"), "Critical", IF(OR(AND(D118="High", E118="Medium"), AND(D118="Medium", E118="High")), "High", IF(OR(AND(D118="Low", E118="High"), AND(D118="Medium", E118="Medium")), "Medium", "Low"))))</f>
        <v/>
      </c>
      <c r="G118">
        <f>IF(F118="Critical", 4, IF(F118="High", 3, IF(F118="Medium", 2, 1)))</f>
        <v/>
      </c>
      <c r="H118" s="4" t="n"/>
      <c r="I118" s="4" t="n"/>
      <c r="J118" s="4" t="n"/>
    </row>
    <row r="119">
      <c r="A119" s="4" t="n"/>
      <c r="B119" s="4" t="n"/>
      <c r="C119" s="4" t="n"/>
      <c r="D119" s="4" t="n"/>
      <c r="E119" s="4" t="n"/>
      <c r="F119">
        <f>IF(AND(D119="High", OR(E119="High", E119="Critical")), "Critical", IF(AND(D119="Medium", E119="Critical"), "Critical", IF(OR(AND(D119="High", E119="Medium"), AND(D119="Medium", E119="High")), "High", IF(OR(AND(D119="Low", E119="High"), AND(D119="Medium", E119="Medium")), "Medium", "Low"))))</f>
        <v/>
      </c>
      <c r="G119">
        <f>IF(F119="Critical", 4, IF(F119="High", 3, IF(F119="Medium", 2, 1)))</f>
        <v/>
      </c>
      <c r="H119" s="4" t="n"/>
      <c r="I119" s="4" t="n"/>
      <c r="J119" s="4" t="n"/>
    </row>
    <row r="120">
      <c r="A120" s="4" t="n"/>
      <c r="B120" s="4" t="n"/>
      <c r="C120" s="4" t="n"/>
      <c r="D120" s="4" t="n"/>
      <c r="E120" s="4" t="n"/>
      <c r="F120">
        <f>IF(AND(D120="High", OR(E120="High", E120="Critical")), "Critical", IF(AND(D120="Medium", E120="Critical"), "Critical", IF(OR(AND(D120="High", E120="Medium"), AND(D120="Medium", E120="High")), "High", IF(OR(AND(D120="Low", E120="High"), AND(D120="Medium", E120="Medium")), "Medium", "Low"))))</f>
        <v/>
      </c>
      <c r="G120">
        <f>IF(F120="Critical", 4, IF(F120="High", 3, IF(F120="Medium", 2, 1)))</f>
        <v/>
      </c>
      <c r="H120" s="4" t="n"/>
      <c r="I120" s="4" t="n"/>
      <c r="J120" s="4" t="n"/>
    </row>
    <row r="121">
      <c r="A121" s="4" t="n"/>
      <c r="B121" s="4" t="n"/>
      <c r="C121" s="4" t="n"/>
      <c r="D121" s="4" t="n"/>
      <c r="E121" s="4" t="n"/>
      <c r="F121">
        <f>IF(AND(D121="High", OR(E121="High", E121="Critical")), "Critical", IF(AND(D121="Medium", E121="Critical"), "Critical", IF(OR(AND(D121="High", E121="Medium"), AND(D121="Medium", E121="High")), "High", IF(OR(AND(D121="Low", E121="High"), AND(D121="Medium", E121="Medium")), "Medium", "Low"))))</f>
        <v/>
      </c>
      <c r="G121">
        <f>IF(F121="Critical", 4, IF(F121="High", 3, IF(F121="Medium", 2, 1)))</f>
        <v/>
      </c>
      <c r="H121" s="4" t="n"/>
      <c r="I121" s="4" t="n"/>
      <c r="J121" s="4" t="n"/>
    </row>
    <row r="122">
      <c r="A122" s="4" t="n"/>
      <c r="B122" s="4" t="n"/>
      <c r="C122" s="4" t="n"/>
      <c r="D122" s="4" t="n"/>
      <c r="E122" s="4" t="n"/>
      <c r="F122">
        <f>IF(AND(D122="High", OR(E122="High", E122="Critical")), "Critical", IF(AND(D122="Medium", E122="Critical"), "Critical", IF(OR(AND(D122="High", E122="Medium"), AND(D122="Medium", E122="High")), "High", IF(OR(AND(D122="Low", E122="High"), AND(D122="Medium", E122="Medium")), "Medium", "Low"))))</f>
        <v/>
      </c>
      <c r="G122">
        <f>IF(F122="Critical", 4, IF(F122="High", 3, IF(F122="Medium", 2, 1)))</f>
        <v/>
      </c>
      <c r="H122" s="4" t="n"/>
      <c r="I122" s="4" t="n"/>
      <c r="J122" s="4" t="n"/>
    </row>
    <row r="123">
      <c r="A123" s="4" t="n"/>
      <c r="B123" s="4" t="n"/>
      <c r="C123" s="4" t="n"/>
      <c r="D123" s="4" t="n"/>
      <c r="E123" s="4" t="n"/>
      <c r="F123">
        <f>IF(AND(D123="High", OR(E123="High", E123="Critical")), "Critical", IF(AND(D123="Medium", E123="Critical"), "Critical", IF(OR(AND(D123="High", E123="Medium"), AND(D123="Medium", E123="High")), "High", IF(OR(AND(D123="Low", E123="High"), AND(D123="Medium", E123="Medium")), "Medium", "Low"))))</f>
        <v/>
      </c>
      <c r="G123">
        <f>IF(F123="Critical", 4, IF(F123="High", 3, IF(F123="Medium", 2, 1)))</f>
        <v/>
      </c>
      <c r="H123" s="4" t="n"/>
      <c r="I123" s="4" t="n"/>
      <c r="J123" s="4" t="n"/>
    </row>
    <row r="124">
      <c r="A124" s="4" t="n"/>
      <c r="B124" s="4" t="n"/>
      <c r="C124" s="4" t="n"/>
      <c r="D124" s="4" t="n"/>
      <c r="E124" s="4" t="n"/>
      <c r="F124">
        <f>IF(AND(D124="High", OR(E124="High", E124="Critical")), "Critical", IF(AND(D124="Medium", E124="Critical"), "Critical", IF(OR(AND(D124="High", E124="Medium"), AND(D124="Medium", E124="High")), "High", IF(OR(AND(D124="Low", E124="High"), AND(D124="Medium", E124="Medium")), "Medium", "Low"))))</f>
        <v/>
      </c>
      <c r="G124">
        <f>IF(F124="Critical", 4, IF(F124="High", 3, IF(F124="Medium", 2, 1)))</f>
        <v/>
      </c>
      <c r="H124" s="4" t="n"/>
      <c r="I124" s="4" t="n"/>
      <c r="J124" s="4" t="n"/>
    </row>
    <row r="125">
      <c r="A125" s="4" t="n"/>
      <c r="B125" s="4" t="n"/>
      <c r="C125" s="4" t="n"/>
      <c r="D125" s="4" t="n"/>
      <c r="E125" s="4" t="n"/>
      <c r="F125">
        <f>IF(AND(D125="High", OR(E125="High", E125="Critical")), "Critical", IF(AND(D125="Medium", E125="Critical"), "Critical", IF(OR(AND(D125="High", E125="Medium"), AND(D125="Medium", E125="High")), "High", IF(OR(AND(D125="Low", E125="High"), AND(D125="Medium", E125="Medium")), "Medium", "Low"))))</f>
        <v/>
      </c>
      <c r="G125">
        <f>IF(F125="Critical", 4, IF(F125="High", 3, IF(F125="Medium", 2, 1)))</f>
        <v/>
      </c>
      <c r="H125" s="4" t="n"/>
      <c r="I125" s="4" t="n"/>
      <c r="J125" s="4" t="n"/>
    </row>
    <row r="126">
      <c r="A126" s="4" t="n"/>
      <c r="B126" s="4" t="n"/>
      <c r="C126" s="4" t="n"/>
      <c r="D126" s="4" t="n"/>
      <c r="E126" s="4" t="n"/>
      <c r="F126">
        <f>IF(AND(D126="High", OR(E126="High", E126="Critical")), "Critical", IF(AND(D126="Medium", E126="Critical"), "Critical", IF(OR(AND(D126="High", E126="Medium"), AND(D126="Medium", E126="High")), "High", IF(OR(AND(D126="Low", E126="High"), AND(D126="Medium", E126="Medium")), "Medium", "Low"))))</f>
        <v/>
      </c>
      <c r="G126">
        <f>IF(F126="Critical", 4, IF(F126="High", 3, IF(F126="Medium", 2, 1)))</f>
        <v/>
      </c>
      <c r="H126" s="4" t="n"/>
      <c r="I126" s="4" t="n"/>
      <c r="J126" s="4" t="n"/>
    </row>
    <row r="127">
      <c r="A127" s="4" t="n"/>
      <c r="B127" s="4" t="n"/>
      <c r="C127" s="4" t="n"/>
      <c r="D127" s="4" t="n"/>
      <c r="E127" s="4" t="n"/>
      <c r="F127">
        <f>IF(AND(D127="High", OR(E127="High", E127="Critical")), "Critical", IF(AND(D127="Medium", E127="Critical"), "Critical", IF(OR(AND(D127="High", E127="Medium"), AND(D127="Medium", E127="High")), "High", IF(OR(AND(D127="Low", E127="High"), AND(D127="Medium", E127="Medium")), "Medium", "Low"))))</f>
        <v/>
      </c>
      <c r="G127">
        <f>IF(F127="Critical", 4, IF(F127="High", 3, IF(F127="Medium", 2, 1)))</f>
        <v/>
      </c>
      <c r="H127" s="4" t="n"/>
      <c r="I127" s="4" t="n"/>
      <c r="J127" s="4" t="n"/>
    </row>
    <row r="128">
      <c r="A128" s="4" t="n"/>
      <c r="B128" s="4" t="n"/>
      <c r="C128" s="4" t="n"/>
      <c r="D128" s="4" t="n"/>
      <c r="E128" s="4" t="n"/>
      <c r="F128">
        <f>IF(AND(D128="High", OR(E128="High", E128="Critical")), "Critical", IF(AND(D128="Medium", E128="Critical"), "Critical", IF(OR(AND(D128="High", E128="Medium"), AND(D128="Medium", E128="High")), "High", IF(OR(AND(D128="Low", E128="High"), AND(D128="Medium", E128="Medium")), "Medium", "Low"))))</f>
        <v/>
      </c>
      <c r="G128">
        <f>IF(F128="Critical", 4, IF(F128="High", 3, IF(F128="Medium", 2, 1)))</f>
        <v/>
      </c>
      <c r="H128" s="4" t="n"/>
      <c r="I128" s="4" t="n"/>
      <c r="J128" s="4" t="n"/>
    </row>
    <row r="129">
      <c r="A129" s="4" t="n"/>
      <c r="B129" s="4" t="n"/>
      <c r="C129" s="4" t="n"/>
      <c r="D129" s="4" t="n"/>
      <c r="E129" s="4" t="n"/>
      <c r="F129">
        <f>IF(AND(D129="High", OR(E129="High", E129="Critical")), "Critical", IF(AND(D129="Medium", E129="Critical"), "Critical", IF(OR(AND(D129="High", E129="Medium"), AND(D129="Medium", E129="High")), "High", IF(OR(AND(D129="Low", E129="High"), AND(D129="Medium", E129="Medium")), "Medium", "Low"))))</f>
        <v/>
      </c>
      <c r="G129">
        <f>IF(F129="Critical", 4, IF(F129="High", 3, IF(F129="Medium", 2, 1)))</f>
        <v/>
      </c>
      <c r="H129" s="4" t="n"/>
      <c r="I129" s="4" t="n"/>
      <c r="J129" s="4" t="n"/>
    </row>
    <row r="130">
      <c r="A130" s="4" t="n"/>
      <c r="B130" s="4" t="n"/>
      <c r="C130" s="4" t="n"/>
      <c r="D130" s="4" t="n"/>
      <c r="E130" s="4" t="n"/>
      <c r="F130">
        <f>IF(AND(D130="High", OR(E130="High", E130="Critical")), "Critical", IF(AND(D130="Medium", E130="Critical"), "Critical", IF(OR(AND(D130="High", E130="Medium"), AND(D130="Medium", E130="High")), "High", IF(OR(AND(D130="Low", E130="High"), AND(D130="Medium", E130="Medium")), "Medium", "Low"))))</f>
        <v/>
      </c>
      <c r="G130">
        <f>IF(F130="Critical", 4, IF(F130="High", 3, IF(F130="Medium", 2, 1)))</f>
        <v/>
      </c>
      <c r="H130" s="4" t="n"/>
      <c r="I130" s="4" t="n"/>
      <c r="J130" s="4" t="n"/>
    </row>
    <row r="131">
      <c r="A131" s="4" t="n"/>
      <c r="B131" s="4" t="n"/>
      <c r="C131" s="4" t="n"/>
      <c r="D131" s="4" t="n"/>
      <c r="E131" s="4" t="n"/>
      <c r="F131">
        <f>IF(AND(D131="High", OR(E131="High", E131="Critical")), "Critical", IF(AND(D131="Medium", E131="Critical"), "Critical", IF(OR(AND(D131="High", E131="Medium"), AND(D131="Medium", E131="High")), "High", IF(OR(AND(D131="Low", E131="High"), AND(D131="Medium", E131="Medium")), "Medium", "Low"))))</f>
        <v/>
      </c>
      <c r="G131">
        <f>IF(F131="Critical", 4, IF(F131="High", 3, IF(F131="Medium", 2, 1)))</f>
        <v/>
      </c>
      <c r="H131" s="4" t="n"/>
      <c r="I131" s="4" t="n"/>
      <c r="J131" s="4" t="n"/>
    </row>
    <row r="132">
      <c r="A132" s="4" t="n"/>
      <c r="B132" s="4" t="n"/>
      <c r="C132" s="4" t="n"/>
      <c r="D132" s="4" t="n"/>
      <c r="E132" s="4" t="n"/>
      <c r="F132">
        <f>IF(AND(D132="High", OR(E132="High", E132="Critical")), "Critical", IF(AND(D132="Medium", E132="Critical"), "Critical", IF(OR(AND(D132="High", E132="Medium"), AND(D132="Medium", E132="High")), "High", IF(OR(AND(D132="Low", E132="High"), AND(D132="Medium", E132="Medium")), "Medium", "Low"))))</f>
        <v/>
      </c>
      <c r="G132">
        <f>IF(F132="Critical", 4, IF(F132="High", 3, IF(F132="Medium", 2, 1)))</f>
        <v/>
      </c>
      <c r="H132" s="4" t="n"/>
      <c r="I132" s="4" t="n"/>
      <c r="J132" s="4" t="n"/>
    </row>
    <row r="133">
      <c r="A133" s="4" t="n"/>
      <c r="B133" s="4" t="n"/>
      <c r="C133" s="4" t="n"/>
      <c r="D133" s="4" t="n"/>
      <c r="E133" s="4" t="n"/>
      <c r="F133">
        <f>IF(AND(D133="High", OR(E133="High", E133="Critical")), "Critical", IF(AND(D133="Medium", E133="Critical"), "Critical", IF(OR(AND(D133="High", E133="Medium"), AND(D133="Medium", E133="High")), "High", IF(OR(AND(D133="Low", E133="High"), AND(D133="Medium", E133="Medium")), "Medium", "Low"))))</f>
        <v/>
      </c>
      <c r="G133">
        <f>IF(F133="Critical", 4, IF(F133="High", 3, IF(F133="Medium", 2, 1)))</f>
        <v/>
      </c>
      <c r="H133" s="4" t="n"/>
      <c r="I133" s="4" t="n"/>
      <c r="J133" s="4" t="n"/>
    </row>
    <row r="134">
      <c r="A134" s="4" t="n"/>
      <c r="B134" s="4" t="n"/>
      <c r="C134" s="4" t="n"/>
      <c r="D134" s="4" t="n"/>
      <c r="E134" s="4" t="n"/>
      <c r="F134">
        <f>IF(AND(D134="High", OR(E134="High", E134="Critical")), "Critical", IF(AND(D134="Medium", E134="Critical"), "Critical", IF(OR(AND(D134="High", E134="Medium"), AND(D134="Medium", E134="High")), "High", IF(OR(AND(D134="Low", E134="High"), AND(D134="Medium", E134="Medium")), "Medium", "Low"))))</f>
        <v/>
      </c>
      <c r="G134">
        <f>IF(F134="Critical", 4, IF(F134="High", 3, IF(F134="Medium", 2, 1)))</f>
        <v/>
      </c>
      <c r="H134" s="4" t="n"/>
      <c r="I134" s="4" t="n"/>
      <c r="J134" s="4" t="n"/>
    </row>
    <row r="135">
      <c r="A135" s="4" t="n"/>
      <c r="B135" s="4" t="n"/>
      <c r="C135" s="4" t="n"/>
      <c r="D135" s="4" t="n"/>
      <c r="E135" s="4" t="n"/>
      <c r="F135">
        <f>IF(AND(D135="High", OR(E135="High", E135="Critical")), "Critical", IF(AND(D135="Medium", E135="Critical"), "Critical", IF(OR(AND(D135="High", E135="Medium"), AND(D135="Medium", E135="High")), "High", IF(OR(AND(D135="Low", E135="High"), AND(D135="Medium", E135="Medium")), "Medium", "Low"))))</f>
        <v/>
      </c>
      <c r="G135">
        <f>IF(F135="Critical", 4, IF(F135="High", 3, IF(F135="Medium", 2, 1)))</f>
        <v/>
      </c>
      <c r="H135" s="4" t="n"/>
      <c r="I135" s="4" t="n"/>
      <c r="J135" s="4" t="n"/>
    </row>
    <row r="136">
      <c r="A136" s="4" t="n"/>
      <c r="B136" s="4" t="n"/>
      <c r="C136" s="4" t="n"/>
      <c r="D136" s="4" t="n"/>
      <c r="E136" s="4" t="n"/>
      <c r="F136">
        <f>IF(AND(D136="High", OR(E136="High", E136="Critical")), "Critical", IF(AND(D136="Medium", E136="Critical"), "Critical", IF(OR(AND(D136="High", E136="Medium"), AND(D136="Medium", E136="High")), "High", IF(OR(AND(D136="Low", E136="High"), AND(D136="Medium", E136="Medium")), "Medium", "Low"))))</f>
        <v/>
      </c>
      <c r="G136">
        <f>IF(F136="Critical", 4, IF(F136="High", 3, IF(F136="Medium", 2, 1)))</f>
        <v/>
      </c>
      <c r="H136" s="4" t="n"/>
      <c r="I136" s="4" t="n"/>
      <c r="J136" s="4" t="n"/>
    </row>
    <row r="137">
      <c r="A137" s="4" t="n"/>
      <c r="B137" s="4" t="n"/>
      <c r="C137" s="4" t="n"/>
      <c r="D137" s="4" t="n"/>
      <c r="E137" s="4" t="n"/>
      <c r="F137">
        <f>IF(AND(D137="High", OR(E137="High", E137="Critical")), "Critical", IF(AND(D137="Medium", E137="Critical"), "Critical", IF(OR(AND(D137="High", E137="Medium"), AND(D137="Medium", E137="High")), "High", IF(OR(AND(D137="Low", E137="High"), AND(D137="Medium", E137="Medium")), "Medium", "Low"))))</f>
        <v/>
      </c>
      <c r="G137">
        <f>IF(F137="Critical", 4, IF(F137="High", 3, IF(F137="Medium", 2, 1)))</f>
        <v/>
      </c>
      <c r="H137" s="4" t="n"/>
      <c r="I137" s="4" t="n"/>
      <c r="J137" s="4" t="n"/>
    </row>
    <row r="138">
      <c r="A138" s="4" t="n"/>
      <c r="B138" s="4" t="n"/>
      <c r="C138" s="4" t="n"/>
      <c r="D138" s="4" t="n"/>
      <c r="E138" s="4" t="n"/>
      <c r="F138">
        <f>IF(AND(D138="High", OR(E138="High", E138="Critical")), "Critical", IF(AND(D138="Medium", E138="Critical"), "Critical", IF(OR(AND(D138="High", E138="Medium"), AND(D138="Medium", E138="High")), "High", IF(OR(AND(D138="Low", E138="High"), AND(D138="Medium", E138="Medium")), "Medium", "Low"))))</f>
        <v/>
      </c>
      <c r="G138">
        <f>IF(F138="Critical", 4, IF(F138="High", 3, IF(F138="Medium", 2, 1)))</f>
        <v/>
      </c>
      <c r="H138" s="4" t="n"/>
      <c r="I138" s="4" t="n"/>
      <c r="J138" s="4" t="n"/>
    </row>
    <row r="139">
      <c r="A139" s="4" t="n"/>
      <c r="B139" s="4" t="n"/>
      <c r="C139" s="4" t="n"/>
      <c r="D139" s="4" t="n"/>
      <c r="E139" s="4" t="n"/>
      <c r="F139">
        <f>IF(AND(D139="High", OR(E139="High", E139="Critical")), "Critical", IF(AND(D139="Medium", E139="Critical"), "Critical", IF(OR(AND(D139="High", E139="Medium"), AND(D139="Medium", E139="High")), "High", IF(OR(AND(D139="Low", E139="High"), AND(D139="Medium", E139="Medium")), "Medium", "Low"))))</f>
        <v/>
      </c>
      <c r="G139">
        <f>IF(F139="Critical", 4, IF(F139="High", 3, IF(F139="Medium", 2, 1)))</f>
        <v/>
      </c>
      <c r="H139" s="4" t="n"/>
      <c r="I139" s="4" t="n"/>
      <c r="J139" s="4" t="n"/>
    </row>
    <row r="140">
      <c r="A140" s="4" t="n"/>
      <c r="B140" s="4" t="n"/>
      <c r="C140" s="4" t="n"/>
      <c r="D140" s="4" t="n"/>
      <c r="E140" s="4" t="n"/>
      <c r="F140">
        <f>IF(AND(D140="High", OR(E140="High", E140="Critical")), "Critical", IF(AND(D140="Medium", E140="Critical"), "Critical", IF(OR(AND(D140="High", E140="Medium"), AND(D140="Medium", E140="High")), "High", IF(OR(AND(D140="Low", E140="High"), AND(D140="Medium", E140="Medium")), "Medium", "Low"))))</f>
        <v/>
      </c>
      <c r="G140">
        <f>IF(F140="Critical", 4, IF(F140="High", 3, IF(F140="Medium", 2, 1)))</f>
        <v/>
      </c>
      <c r="H140" s="4" t="n"/>
      <c r="I140" s="4" t="n"/>
      <c r="J140" s="4" t="n"/>
    </row>
    <row r="141">
      <c r="A141" s="4" t="n"/>
      <c r="B141" s="4" t="n"/>
      <c r="C141" s="4" t="n"/>
      <c r="D141" s="4" t="n"/>
      <c r="E141" s="4" t="n"/>
      <c r="F141">
        <f>IF(AND(D141="High", OR(E141="High", E141="Critical")), "Critical", IF(AND(D141="Medium", E141="Critical"), "Critical", IF(OR(AND(D141="High", E141="Medium"), AND(D141="Medium", E141="High")), "High", IF(OR(AND(D141="Low", E141="High"), AND(D141="Medium", E141="Medium")), "Medium", "Low"))))</f>
        <v/>
      </c>
      <c r="G141">
        <f>IF(F141="Critical", 4, IF(F141="High", 3, IF(F141="Medium", 2, 1)))</f>
        <v/>
      </c>
      <c r="H141" s="4" t="n"/>
      <c r="I141" s="4" t="n"/>
      <c r="J141" s="4" t="n"/>
    </row>
    <row r="142">
      <c r="A142" s="4" t="n"/>
      <c r="B142" s="4" t="n"/>
      <c r="C142" s="4" t="n"/>
      <c r="D142" s="4" t="n"/>
      <c r="E142" s="4" t="n"/>
      <c r="F142">
        <f>IF(AND(D142="High", OR(E142="High", E142="Critical")), "Critical", IF(AND(D142="Medium", E142="Critical"), "Critical", IF(OR(AND(D142="High", E142="Medium"), AND(D142="Medium", E142="High")), "High", IF(OR(AND(D142="Low", E142="High"), AND(D142="Medium", E142="Medium")), "Medium", "Low"))))</f>
        <v/>
      </c>
      <c r="G142">
        <f>IF(F142="Critical", 4, IF(F142="High", 3, IF(F142="Medium", 2, 1)))</f>
        <v/>
      </c>
      <c r="H142" s="4" t="n"/>
      <c r="I142" s="4" t="n"/>
      <c r="J142" s="4" t="n"/>
    </row>
    <row r="143">
      <c r="A143" s="4" t="n"/>
      <c r="B143" s="4" t="n"/>
      <c r="C143" s="4" t="n"/>
      <c r="D143" s="4" t="n"/>
      <c r="E143" s="4" t="n"/>
      <c r="F143">
        <f>IF(AND(D143="High", OR(E143="High", E143="Critical")), "Critical", IF(AND(D143="Medium", E143="Critical"), "Critical", IF(OR(AND(D143="High", E143="Medium"), AND(D143="Medium", E143="High")), "High", IF(OR(AND(D143="Low", E143="High"), AND(D143="Medium", E143="Medium")), "Medium", "Low"))))</f>
        <v/>
      </c>
      <c r="G143">
        <f>IF(F143="Critical", 4, IF(F143="High", 3, IF(F143="Medium", 2, 1)))</f>
        <v/>
      </c>
      <c r="H143" s="4" t="n"/>
      <c r="I143" s="4" t="n"/>
      <c r="J143" s="4" t="n"/>
    </row>
    <row r="144">
      <c r="A144" s="4" t="n"/>
      <c r="B144" s="4" t="n"/>
      <c r="C144" s="4" t="n"/>
      <c r="D144" s="4" t="n"/>
      <c r="E144" s="4" t="n"/>
      <c r="F144">
        <f>IF(AND(D144="High", OR(E144="High", E144="Critical")), "Critical", IF(AND(D144="Medium", E144="Critical"), "Critical", IF(OR(AND(D144="High", E144="Medium"), AND(D144="Medium", E144="High")), "High", IF(OR(AND(D144="Low", E144="High"), AND(D144="Medium", E144="Medium")), "Medium", "Low"))))</f>
        <v/>
      </c>
      <c r="G144">
        <f>IF(F144="Critical", 4, IF(F144="High", 3, IF(F144="Medium", 2, 1)))</f>
        <v/>
      </c>
      <c r="H144" s="4" t="n"/>
      <c r="I144" s="4" t="n"/>
      <c r="J144" s="4" t="n"/>
    </row>
    <row r="145">
      <c r="A145" s="4" t="n"/>
      <c r="B145" s="4" t="n"/>
      <c r="C145" s="4" t="n"/>
      <c r="D145" s="4" t="n"/>
      <c r="E145" s="4" t="n"/>
      <c r="F145">
        <f>IF(AND(D145="High", OR(E145="High", E145="Critical")), "Critical", IF(AND(D145="Medium", E145="Critical"), "Critical", IF(OR(AND(D145="High", E145="Medium"), AND(D145="Medium", E145="High")), "High", IF(OR(AND(D145="Low", E145="High"), AND(D145="Medium", E145="Medium")), "Medium", "Low"))))</f>
        <v/>
      </c>
      <c r="G145">
        <f>IF(F145="Critical", 4, IF(F145="High", 3, IF(F145="Medium", 2, 1)))</f>
        <v/>
      </c>
      <c r="H145" s="4" t="n"/>
      <c r="I145" s="4" t="n"/>
      <c r="J145" s="4" t="n"/>
    </row>
    <row r="146">
      <c r="A146" s="4" t="n"/>
      <c r="B146" s="4" t="n"/>
      <c r="C146" s="4" t="n"/>
      <c r="D146" s="4" t="n"/>
      <c r="E146" s="4" t="n"/>
      <c r="F146">
        <f>IF(AND(D146="High", OR(E146="High", E146="Critical")), "Critical", IF(AND(D146="Medium", E146="Critical"), "Critical", IF(OR(AND(D146="High", E146="Medium"), AND(D146="Medium", E146="High")), "High", IF(OR(AND(D146="Low", E146="High"), AND(D146="Medium", E146="Medium")), "Medium", "Low"))))</f>
        <v/>
      </c>
      <c r="G146">
        <f>IF(F146="Critical", 4, IF(F146="High", 3, IF(F146="Medium", 2, 1)))</f>
        <v/>
      </c>
      <c r="H146" s="4" t="n"/>
      <c r="I146" s="4" t="n"/>
      <c r="J146" s="4" t="n"/>
    </row>
    <row r="147">
      <c r="A147" s="4" t="n"/>
      <c r="B147" s="4" t="n"/>
      <c r="C147" s="4" t="n"/>
      <c r="D147" s="4" t="n"/>
      <c r="E147" s="4" t="n"/>
      <c r="F147">
        <f>IF(AND(D147="High", OR(E147="High", E147="Critical")), "Critical", IF(AND(D147="Medium", E147="Critical"), "Critical", IF(OR(AND(D147="High", E147="Medium"), AND(D147="Medium", E147="High")), "High", IF(OR(AND(D147="Low", E147="High"), AND(D147="Medium", E147="Medium")), "Medium", "Low"))))</f>
        <v/>
      </c>
      <c r="G147">
        <f>IF(F147="Critical", 4, IF(F147="High", 3, IF(F147="Medium", 2, 1)))</f>
        <v/>
      </c>
      <c r="H147" s="4" t="n"/>
      <c r="I147" s="4" t="n"/>
      <c r="J147" s="4" t="n"/>
    </row>
    <row r="148">
      <c r="A148" s="4" t="n"/>
      <c r="B148" s="4" t="n"/>
      <c r="C148" s="4" t="n"/>
      <c r="D148" s="4" t="n"/>
      <c r="E148" s="4" t="n"/>
      <c r="F148">
        <f>IF(AND(D148="High", OR(E148="High", E148="Critical")), "Critical", IF(AND(D148="Medium", E148="Critical"), "Critical", IF(OR(AND(D148="High", E148="Medium"), AND(D148="Medium", E148="High")), "High", IF(OR(AND(D148="Low", E148="High"), AND(D148="Medium", E148="Medium")), "Medium", "Low"))))</f>
        <v/>
      </c>
      <c r="G148">
        <f>IF(F148="Critical", 4, IF(F148="High", 3, IF(F148="Medium", 2, 1)))</f>
        <v/>
      </c>
      <c r="H148" s="4" t="n"/>
      <c r="I148" s="4" t="n"/>
      <c r="J148" s="4" t="n"/>
    </row>
    <row r="149">
      <c r="A149" s="4" t="n"/>
      <c r="B149" s="4" t="n"/>
      <c r="C149" s="4" t="n"/>
      <c r="D149" s="4" t="n"/>
      <c r="E149" s="4" t="n"/>
      <c r="F149">
        <f>IF(AND(D149="High", OR(E149="High", E149="Critical")), "Critical", IF(AND(D149="Medium", E149="Critical"), "Critical", IF(OR(AND(D149="High", E149="Medium"), AND(D149="Medium", E149="High")), "High", IF(OR(AND(D149="Low", E149="High"), AND(D149="Medium", E149="Medium")), "Medium", "Low"))))</f>
        <v/>
      </c>
      <c r="G149">
        <f>IF(F149="Critical", 4, IF(F149="High", 3, IF(F149="Medium", 2, 1)))</f>
        <v/>
      </c>
      <c r="H149" s="4" t="n"/>
      <c r="I149" s="4" t="n"/>
      <c r="J149" s="4" t="n"/>
    </row>
    <row r="150">
      <c r="A150" s="4" t="n"/>
      <c r="B150" s="4" t="n"/>
      <c r="C150" s="4" t="n"/>
      <c r="D150" s="4" t="n"/>
      <c r="E150" s="4" t="n"/>
      <c r="F150">
        <f>IF(AND(D150="High", OR(E150="High", E150="Critical")), "Critical", IF(AND(D150="Medium", E150="Critical"), "Critical", IF(OR(AND(D150="High", E150="Medium"), AND(D150="Medium", E150="High")), "High", IF(OR(AND(D150="Low", E150="High"), AND(D150="Medium", E150="Medium")), "Medium", "Low"))))</f>
        <v/>
      </c>
      <c r="G150">
        <f>IF(F150="Critical", 4, IF(F150="High", 3, IF(F150="Medium", 2, 1)))</f>
        <v/>
      </c>
      <c r="H150" s="4" t="n"/>
      <c r="I150" s="4" t="n"/>
      <c r="J150" s="4" t="n"/>
    </row>
    <row r="151">
      <c r="A151" s="4" t="n"/>
      <c r="B151" s="4" t="n"/>
      <c r="C151" s="4" t="n"/>
      <c r="D151" s="4" t="n"/>
      <c r="E151" s="4" t="n"/>
      <c r="F151">
        <f>IF(AND(D151="High", OR(E151="High", E151="Critical")), "Critical", IF(AND(D151="Medium", E151="Critical"), "Critical", IF(OR(AND(D151="High", E151="Medium"), AND(D151="Medium", E151="High")), "High", IF(OR(AND(D151="Low", E151="High"), AND(D151="Medium", E151="Medium")), "Medium", "Low"))))</f>
        <v/>
      </c>
      <c r="G151">
        <f>IF(F151="Critical", 4, IF(F151="High", 3, IF(F151="Medium", 2, 1)))</f>
        <v/>
      </c>
      <c r="H151" s="4" t="n"/>
      <c r="I151" s="4" t="n"/>
      <c r="J151" s="4" t="n"/>
    </row>
    <row r="152">
      <c r="A152" s="4" t="n"/>
      <c r="B152" s="4" t="n"/>
      <c r="C152" s="4" t="n"/>
      <c r="D152" s="4" t="n"/>
      <c r="E152" s="4" t="n"/>
      <c r="F152">
        <f>IF(AND(D152="High", OR(E152="High", E152="Critical")), "Critical", IF(AND(D152="Medium", E152="Critical"), "Critical", IF(OR(AND(D152="High", E152="Medium"), AND(D152="Medium", E152="High")), "High", IF(OR(AND(D152="Low", E152="High"), AND(D152="Medium", E152="Medium")), "Medium", "Low"))))</f>
        <v/>
      </c>
      <c r="G152">
        <f>IF(F152="Critical", 4, IF(F152="High", 3, IF(F152="Medium", 2, 1)))</f>
        <v/>
      </c>
      <c r="H152" s="4" t="n"/>
      <c r="I152" s="4" t="n"/>
      <c r="J152" s="4" t="n"/>
    </row>
    <row r="153">
      <c r="A153" s="4" t="n"/>
      <c r="B153" s="4" t="n"/>
      <c r="C153" s="4" t="n"/>
      <c r="D153" s="4" t="n"/>
      <c r="E153" s="4" t="n"/>
      <c r="F153">
        <f>IF(AND(D153="High", OR(E153="High", E153="Critical")), "Critical", IF(AND(D153="Medium", E153="Critical"), "Critical", IF(OR(AND(D153="High", E153="Medium"), AND(D153="Medium", E153="High")), "High", IF(OR(AND(D153="Low", E153="High"), AND(D153="Medium", E153="Medium")), "Medium", "Low"))))</f>
        <v/>
      </c>
      <c r="G153">
        <f>IF(F153="Critical", 4, IF(F153="High", 3, IF(F153="Medium", 2, 1)))</f>
        <v/>
      </c>
      <c r="H153" s="4" t="n"/>
      <c r="I153" s="4" t="n"/>
      <c r="J153" s="4" t="n"/>
    </row>
    <row r="154">
      <c r="A154" s="4" t="n"/>
      <c r="B154" s="4" t="n"/>
      <c r="C154" s="4" t="n"/>
      <c r="D154" s="4" t="n"/>
      <c r="E154" s="4" t="n"/>
      <c r="F154">
        <f>IF(AND(D154="High", OR(E154="High", E154="Critical")), "Critical", IF(AND(D154="Medium", E154="Critical"), "Critical", IF(OR(AND(D154="High", E154="Medium"), AND(D154="Medium", E154="High")), "High", IF(OR(AND(D154="Low", E154="High"), AND(D154="Medium", E154="Medium")), "Medium", "Low"))))</f>
        <v/>
      </c>
      <c r="G154">
        <f>IF(F154="Critical", 4, IF(F154="High", 3, IF(F154="Medium", 2, 1)))</f>
        <v/>
      </c>
      <c r="H154" s="4" t="n"/>
      <c r="I154" s="4" t="n"/>
      <c r="J154" s="4" t="n"/>
    </row>
    <row r="155">
      <c r="A155" s="4" t="n"/>
      <c r="B155" s="4" t="n"/>
      <c r="C155" s="4" t="n"/>
      <c r="D155" s="4" t="n"/>
      <c r="E155" s="4" t="n"/>
      <c r="F155">
        <f>IF(AND(D155="High", OR(E155="High", E155="Critical")), "Critical", IF(AND(D155="Medium", E155="Critical"), "Critical", IF(OR(AND(D155="High", E155="Medium"), AND(D155="Medium", E155="High")), "High", IF(OR(AND(D155="Low", E155="High"), AND(D155="Medium", E155="Medium")), "Medium", "Low"))))</f>
        <v/>
      </c>
      <c r="G155">
        <f>IF(F155="Critical", 4, IF(F155="High", 3, IF(F155="Medium", 2, 1)))</f>
        <v/>
      </c>
      <c r="H155" s="4" t="n"/>
      <c r="I155" s="4" t="n"/>
      <c r="J155" s="4" t="n"/>
    </row>
    <row r="156">
      <c r="A156" s="4" t="n"/>
      <c r="B156" s="4" t="n"/>
      <c r="C156" s="4" t="n"/>
      <c r="D156" s="4" t="n"/>
      <c r="E156" s="4" t="n"/>
      <c r="F156">
        <f>IF(AND(D156="High", OR(E156="High", E156="Critical")), "Critical", IF(AND(D156="Medium", E156="Critical"), "Critical", IF(OR(AND(D156="High", E156="Medium"), AND(D156="Medium", E156="High")), "High", IF(OR(AND(D156="Low", E156="High"), AND(D156="Medium", E156="Medium")), "Medium", "Low"))))</f>
        <v/>
      </c>
      <c r="G156">
        <f>IF(F156="Critical", 4, IF(F156="High", 3, IF(F156="Medium", 2, 1)))</f>
        <v/>
      </c>
      <c r="H156" s="4" t="n"/>
      <c r="I156" s="4" t="n"/>
      <c r="J156" s="4" t="n"/>
    </row>
    <row r="157">
      <c r="A157" s="4" t="n"/>
      <c r="B157" s="4" t="n"/>
      <c r="C157" s="4" t="n"/>
      <c r="D157" s="4" t="n"/>
      <c r="E157" s="4" t="n"/>
      <c r="F157">
        <f>IF(AND(D157="High", OR(E157="High", E157="Critical")), "Critical", IF(AND(D157="Medium", E157="Critical"), "Critical", IF(OR(AND(D157="High", E157="Medium"), AND(D157="Medium", E157="High")), "High", IF(OR(AND(D157="Low", E157="High"), AND(D157="Medium", E157="Medium")), "Medium", "Low"))))</f>
        <v/>
      </c>
      <c r="G157">
        <f>IF(F157="Critical", 4, IF(F157="High", 3, IF(F157="Medium", 2, 1)))</f>
        <v/>
      </c>
      <c r="H157" s="4" t="n"/>
      <c r="I157" s="4" t="n"/>
      <c r="J157" s="4" t="n"/>
    </row>
    <row r="158">
      <c r="A158" s="4" t="n"/>
      <c r="B158" s="4" t="n"/>
      <c r="C158" s="4" t="n"/>
      <c r="D158" s="4" t="n"/>
      <c r="E158" s="4" t="n"/>
      <c r="F158">
        <f>IF(AND(D158="High", OR(E158="High", E158="Critical")), "Critical", IF(AND(D158="Medium", E158="Critical"), "Critical", IF(OR(AND(D158="High", E158="Medium"), AND(D158="Medium", E158="High")), "High", IF(OR(AND(D158="Low", E158="High"), AND(D158="Medium", E158="Medium")), "Medium", "Low"))))</f>
        <v/>
      </c>
      <c r="G158">
        <f>IF(F158="Critical", 4, IF(F158="High", 3, IF(F158="Medium", 2, 1)))</f>
        <v/>
      </c>
      <c r="H158" s="4" t="n"/>
      <c r="I158" s="4" t="n"/>
      <c r="J158" s="4" t="n"/>
    </row>
    <row r="159">
      <c r="A159" s="4" t="n"/>
      <c r="B159" s="4" t="n"/>
      <c r="C159" s="4" t="n"/>
      <c r="D159" s="4" t="n"/>
      <c r="E159" s="4" t="n"/>
      <c r="F159">
        <f>IF(AND(D159="High", OR(E159="High", E159="Critical")), "Critical", IF(AND(D159="Medium", E159="Critical"), "Critical", IF(OR(AND(D159="High", E159="Medium"), AND(D159="Medium", E159="High")), "High", IF(OR(AND(D159="Low", E159="High"), AND(D159="Medium", E159="Medium")), "Medium", "Low"))))</f>
        <v/>
      </c>
      <c r="G159">
        <f>IF(F159="Critical", 4, IF(F159="High", 3, IF(F159="Medium", 2, 1)))</f>
        <v/>
      </c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>
        <f>IF(AND(D160="High", OR(E160="High", E160="Critical")), "Critical", IF(AND(D160="Medium", E160="Critical"), "Critical", IF(OR(AND(D160="High", E160="Medium"), AND(D160="Medium", E160="High")), "High", IF(OR(AND(D160="Low", E160="High"), AND(D160="Medium", E160="Medium")), "Medium", "Low"))))</f>
        <v/>
      </c>
      <c r="G160">
        <f>IF(F160="Critical", 4, IF(F160="High", 3, IF(F160="Medium", 2, 1)))</f>
        <v/>
      </c>
      <c r="H160" s="4" t="n"/>
      <c r="I160" s="4" t="n"/>
      <c r="J160" s="4" t="n"/>
    </row>
    <row r="161">
      <c r="A161" s="4" t="n"/>
      <c r="B161" s="4" t="n"/>
      <c r="C161" s="4" t="n"/>
      <c r="D161" s="4" t="n"/>
      <c r="E161" s="4" t="n"/>
      <c r="F161">
        <f>IF(AND(D161="High", OR(E161="High", E161="Critical")), "Critical", IF(AND(D161="Medium", E161="Critical"), "Critical", IF(OR(AND(D161="High", E161="Medium"), AND(D161="Medium", E161="High")), "High", IF(OR(AND(D161="Low", E161="High"), AND(D161="Medium", E161="Medium")), "Medium", "Low"))))</f>
        <v/>
      </c>
      <c r="G161">
        <f>IF(F161="Critical", 4, IF(F161="High", 3, IF(F161="Medium", 2, 1)))</f>
        <v/>
      </c>
      <c r="H161" s="4" t="n"/>
      <c r="I161" s="4" t="n"/>
      <c r="J161" s="4" t="n"/>
    </row>
    <row r="162">
      <c r="A162" s="4" t="n"/>
      <c r="B162" s="4" t="n"/>
      <c r="C162" s="4" t="n"/>
      <c r="D162" s="4" t="n"/>
      <c r="E162" s="4" t="n"/>
      <c r="F162">
        <f>IF(AND(D162="High", OR(E162="High", E162="Critical")), "Critical", IF(AND(D162="Medium", E162="Critical"), "Critical", IF(OR(AND(D162="High", E162="Medium"), AND(D162="Medium", E162="High")), "High", IF(OR(AND(D162="Low", E162="High"), AND(D162="Medium", E162="Medium")), "Medium", "Low"))))</f>
        <v/>
      </c>
      <c r="G162">
        <f>IF(F162="Critical", 4, IF(F162="High", 3, IF(F162="Medium", 2, 1)))</f>
        <v/>
      </c>
      <c r="H162" s="4" t="n"/>
      <c r="I162" s="4" t="n"/>
      <c r="J162" s="4" t="n"/>
    </row>
    <row r="163">
      <c r="A163" s="4" t="n"/>
      <c r="B163" s="4" t="n"/>
      <c r="C163" s="4" t="n"/>
      <c r="D163" s="4" t="n"/>
      <c r="E163" s="4" t="n"/>
      <c r="F163">
        <f>IF(AND(D163="High", OR(E163="High", E163="Critical")), "Critical", IF(AND(D163="Medium", E163="Critical"), "Critical", IF(OR(AND(D163="High", E163="Medium"), AND(D163="Medium", E163="High")), "High", IF(OR(AND(D163="Low", E163="High"), AND(D163="Medium", E163="Medium")), "Medium", "Low"))))</f>
        <v/>
      </c>
      <c r="G163">
        <f>IF(F163="Critical", 4, IF(F163="High", 3, IF(F163="Medium", 2, 1)))</f>
        <v/>
      </c>
      <c r="H163" s="4" t="n"/>
      <c r="I163" s="4" t="n"/>
      <c r="J163" s="4" t="n"/>
    </row>
    <row r="164">
      <c r="A164" s="4" t="n"/>
      <c r="B164" s="4" t="n"/>
      <c r="C164" s="4" t="n"/>
      <c r="D164" s="4" t="n"/>
      <c r="E164" s="4" t="n"/>
      <c r="F164">
        <f>IF(AND(D164="High", OR(E164="High", E164="Critical")), "Critical", IF(AND(D164="Medium", E164="Critical"), "Critical", IF(OR(AND(D164="High", E164="Medium"), AND(D164="Medium", E164="High")), "High", IF(OR(AND(D164="Low", E164="High"), AND(D164="Medium", E164="Medium")), "Medium", "Low"))))</f>
        <v/>
      </c>
      <c r="G164">
        <f>IF(F164="Critical", 4, IF(F164="High", 3, IF(F164="Medium", 2, 1)))</f>
        <v/>
      </c>
      <c r="H164" s="4" t="n"/>
      <c r="I164" s="4" t="n"/>
      <c r="J164" s="4" t="n"/>
    </row>
    <row r="165">
      <c r="A165" s="4" t="n"/>
      <c r="B165" s="4" t="n"/>
      <c r="C165" s="4" t="n"/>
      <c r="D165" s="4" t="n"/>
      <c r="E165" s="4" t="n"/>
      <c r="F165">
        <f>IF(AND(D165="High", OR(E165="High", E165="Critical")), "Critical", IF(AND(D165="Medium", E165="Critical"), "Critical", IF(OR(AND(D165="High", E165="Medium"), AND(D165="Medium", E165="High")), "High", IF(OR(AND(D165="Low", E165="High"), AND(D165="Medium", E165="Medium")), "Medium", "Low"))))</f>
        <v/>
      </c>
      <c r="G165">
        <f>IF(F165="Critical", 4, IF(F165="High", 3, IF(F165="Medium", 2, 1)))</f>
        <v/>
      </c>
      <c r="H165" s="4" t="n"/>
      <c r="I165" s="4" t="n"/>
      <c r="J165" s="4" t="n"/>
    </row>
    <row r="166">
      <c r="A166" s="4" t="n"/>
      <c r="B166" s="4" t="n"/>
      <c r="C166" s="4" t="n"/>
      <c r="D166" s="4" t="n"/>
      <c r="E166" s="4" t="n"/>
      <c r="F166">
        <f>IF(AND(D166="High", OR(E166="High", E166="Critical")), "Critical", IF(AND(D166="Medium", E166="Critical"), "Critical", IF(OR(AND(D166="High", E166="Medium"), AND(D166="Medium", E166="High")), "High", IF(OR(AND(D166="Low", E166="High"), AND(D166="Medium", E166="Medium")), "Medium", "Low"))))</f>
        <v/>
      </c>
      <c r="G166">
        <f>IF(F166="Critical", 4, IF(F166="High", 3, IF(F166="Medium", 2, 1)))</f>
        <v/>
      </c>
      <c r="H166" s="4" t="n"/>
      <c r="I166" s="4" t="n"/>
      <c r="J166" s="4" t="n"/>
    </row>
    <row r="167">
      <c r="A167" s="4" t="n"/>
      <c r="B167" s="4" t="n"/>
      <c r="C167" s="4" t="n"/>
      <c r="D167" s="4" t="n"/>
      <c r="E167" s="4" t="n"/>
      <c r="F167">
        <f>IF(AND(D167="High", OR(E167="High", E167="Critical")), "Critical", IF(AND(D167="Medium", E167="Critical"), "Critical", IF(OR(AND(D167="High", E167="Medium"), AND(D167="Medium", E167="High")), "High", IF(OR(AND(D167="Low", E167="High"), AND(D167="Medium", E167="Medium")), "Medium", "Low"))))</f>
        <v/>
      </c>
      <c r="G167">
        <f>IF(F167="Critical", 4, IF(F167="High", 3, IF(F167="Medium", 2, 1)))</f>
        <v/>
      </c>
      <c r="H167" s="4" t="n"/>
      <c r="I167" s="4" t="n"/>
      <c r="J167" s="4" t="n"/>
    </row>
    <row r="168">
      <c r="A168" s="4" t="n"/>
      <c r="B168" s="4" t="n"/>
      <c r="C168" s="4" t="n"/>
      <c r="D168" s="4" t="n"/>
      <c r="E168" s="4" t="n"/>
      <c r="F168">
        <f>IF(AND(D168="High", OR(E168="High", E168="Critical")), "Critical", IF(AND(D168="Medium", E168="Critical"), "Critical", IF(OR(AND(D168="High", E168="Medium"), AND(D168="Medium", E168="High")), "High", IF(OR(AND(D168="Low", E168="High"), AND(D168="Medium", E168="Medium")), "Medium", "Low"))))</f>
        <v/>
      </c>
      <c r="G168">
        <f>IF(F168="Critical", 4, IF(F168="High", 3, IF(F168="Medium", 2, 1)))</f>
        <v/>
      </c>
      <c r="H168" s="4" t="n"/>
      <c r="I168" s="4" t="n"/>
      <c r="J168" s="4" t="n"/>
    </row>
    <row r="169">
      <c r="A169" s="4" t="n"/>
      <c r="B169" s="4" t="n"/>
      <c r="C169" s="4" t="n"/>
      <c r="D169" s="4" t="n"/>
      <c r="E169" s="4" t="n"/>
      <c r="F169">
        <f>IF(AND(D169="High", OR(E169="High", E169="Critical")), "Critical", IF(AND(D169="Medium", E169="Critical"), "Critical", IF(OR(AND(D169="High", E169="Medium"), AND(D169="Medium", E169="High")), "High", IF(OR(AND(D169="Low", E169="High"), AND(D169="Medium", E169="Medium")), "Medium", "Low"))))</f>
        <v/>
      </c>
      <c r="G169">
        <f>IF(F169="Critical", 4, IF(F169="High", 3, IF(F169="Medium", 2, 1)))</f>
        <v/>
      </c>
      <c r="H169" s="4" t="n"/>
      <c r="I169" s="4" t="n"/>
      <c r="J169" s="4" t="n"/>
    </row>
    <row r="170">
      <c r="A170" s="4" t="n"/>
      <c r="B170" s="4" t="n"/>
      <c r="C170" s="4" t="n"/>
      <c r="D170" s="4" t="n"/>
      <c r="E170" s="4" t="n"/>
      <c r="F170">
        <f>IF(AND(D170="High", OR(E170="High", E170="Critical")), "Critical", IF(AND(D170="Medium", E170="Critical"), "Critical", IF(OR(AND(D170="High", E170="Medium"), AND(D170="Medium", E170="High")), "High", IF(OR(AND(D170="Low", E170="High"), AND(D170="Medium", E170="Medium")), "Medium", "Low"))))</f>
        <v/>
      </c>
      <c r="G170">
        <f>IF(F170="Critical", 4, IF(F170="High", 3, IF(F170="Medium", 2, 1)))</f>
        <v/>
      </c>
      <c r="H170" s="4" t="n"/>
      <c r="I170" s="4" t="n"/>
      <c r="J170" s="4" t="n"/>
    </row>
    <row r="171">
      <c r="A171" s="4" t="n"/>
      <c r="B171" s="4" t="n"/>
      <c r="C171" s="4" t="n"/>
      <c r="D171" s="4" t="n"/>
      <c r="E171" s="4" t="n"/>
      <c r="F171">
        <f>IF(AND(D171="High", OR(E171="High", E171="Critical")), "Critical", IF(AND(D171="Medium", E171="Critical"), "Critical", IF(OR(AND(D171="High", E171="Medium"), AND(D171="Medium", E171="High")), "High", IF(OR(AND(D171="Low", E171="High"), AND(D171="Medium", E171="Medium")), "Medium", "Low"))))</f>
        <v/>
      </c>
      <c r="G171">
        <f>IF(F171="Critical", 4, IF(F171="High", 3, IF(F171="Medium", 2, 1)))</f>
        <v/>
      </c>
      <c r="H171" s="4" t="n"/>
      <c r="I171" s="4" t="n"/>
      <c r="J171" s="4" t="n"/>
    </row>
    <row r="172">
      <c r="A172" s="4" t="n"/>
      <c r="B172" s="4" t="n"/>
      <c r="C172" s="4" t="n"/>
      <c r="D172" s="4" t="n"/>
      <c r="E172" s="4" t="n"/>
      <c r="F172">
        <f>IF(AND(D172="High", OR(E172="High", E172="Critical")), "Critical", IF(AND(D172="Medium", E172="Critical"), "Critical", IF(OR(AND(D172="High", E172="Medium"), AND(D172="Medium", E172="High")), "High", IF(OR(AND(D172="Low", E172="High"), AND(D172="Medium", E172="Medium")), "Medium", "Low"))))</f>
        <v/>
      </c>
      <c r="G172">
        <f>IF(F172="Critical", 4, IF(F172="High", 3, IF(F172="Medium", 2, 1)))</f>
        <v/>
      </c>
      <c r="H172" s="4" t="n"/>
      <c r="I172" s="4" t="n"/>
      <c r="J172" s="4" t="n"/>
    </row>
    <row r="173">
      <c r="A173" s="4" t="n"/>
      <c r="B173" s="4" t="n"/>
      <c r="C173" s="4" t="n"/>
      <c r="D173" s="4" t="n"/>
      <c r="E173" s="4" t="n"/>
      <c r="F173">
        <f>IF(AND(D173="High", OR(E173="High", E173="Critical")), "Critical", IF(AND(D173="Medium", E173="Critical"), "Critical", IF(OR(AND(D173="High", E173="Medium"), AND(D173="Medium", E173="High")), "High", IF(OR(AND(D173="Low", E173="High"), AND(D173="Medium", E173="Medium")), "Medium", "Low"))))</f>
        <v/>
      </c>
      <c r="G173">
        <f>IF(F173="Critical", 4, IF(F173="High", 3, IF(F173="Medium", 2, 1)))</f>
        <v/>
      </c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>
        <f>IF(AND(D174="High", OR(E174="High", E174="Critical")), "Critical", IF(AND(D174="Medium", E174="Critical"), "Critical", IF(OR(AND(D174="High", E174="Medium"), AND(D174="Medium", E174="High")), "High", IF(OR(AND(D174="Low", E174="High"), AND(D174="Medium", E174="Medium")), "Medium", "Low"))))</f>
        <v/>
      </c>
      <c r="G174">
        <f>IF(F174="Critical", 4, IF(F174="High", 3, IF(F174="Medium", 2, 1)))</f>
        <v/>
      </c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>
        <f>IF(AND(D175="High", OR(E175="High", E175="Critical")), "Critical", IF(AND(D175="Medium", E175="Critical"), "Critical", IF(OR(AND(D175="High", E175="Medium"), AND(D175="Medium", E175="High")), "High", IF(OR(AND(D175="Low", E175="High"), AND(D175="Medium", E175="Medium")), "Medium", "Low"))))</f>
        <v/>
      </c>
      <c r="G175">
        <f>IF(F175="Critical", 4, IF(F175="High", 3, IF(F175="Medium", 2, 1)))</f>
        <v/>
      </c>
      <c r="H175" s="4" t="n"/>
      <c r="I175" s="4" t="n"/>
      <c r="J175" s="4" t="n"/>
    </row>
    <row r="176">
      <c r="A176" s="4" t="n"/>
      <c r="B176" s="4" t="n"/>
      <c r="C176" s="4" t="n"/>
      <c r="D176" s="4" t="n"/>
      <c r="E176" s="4" t="n"/>
      <c r="F176">
        <f>IF(AND(D176="High", OR(E176="High", E176="Critical")), "Critical", IF(AND(D176="Medium", E176="Critical"), "Critical", IF(OR(AND(D176="High", E176="Medium"), AND(D176="Medium", E176="High")), "High", IF(OR(AND(D176="Low", E176="High"), AND(D176="Medium", E176="Medium")), "Medium", "Low"))))</f>
        <v/>
      </c>
      <c r="G176">
        <f>IF(F176="Critical", 4, IF(F176="High", 3, IF(F176="Medium", 2, 1)))</f>
        <v/>
      </c>
      <c r="H176" s="4" t="n"/>
      <c r="I176" s="4" t="n"/>
      <c r="J176" s="4" t="n"/>
    </row>
    <row r="177">
      <c r="A177" s="4" t="n"/>
      <c r="B177" s="4" t="n"/>
      <c r="C177" s="4" t="n"/>
      <c r="D177" s="4" t="n"/>
      <c r="E177" s="4" t="n"/>
      <c r="F177">
        <f>IF(AND(D177="High", OR(E177="High", E177="Critical")), "Critical", IF(AND(D177="Medium", E177="Critical"), "Critical", IF(OR(AND(D177="High", E177="Medium"), AND(D177="Medium", E177="High")), "High", IF(OR(AND(D177="Low", E177="High"), AND(D177="Medium", E177="Medium")), "Medium", "Low"))))</f>
        <v/>
      </c>
      <c r="G177">
        <f>IF(F177="Critical", 4, IF(F177="High", 3, IF(F177="Medium", 2, 1)))</f>
        <v/>
      </c>
      <c r="H177" s="4" t="n"/>
      <c r="I177" s="4" t="n"/>
      <c r="J177" s="4" t="n"/>
    </row>
    <row r="178">
      <c r="A178" s="4" t="n"/>
      <c r="B178" s="4" t="n"/>
      <c r="C178" s="4" t="n"/>
      <c r="D178" s="4" t="n"/>
      <c r="E178" s="4" t="n"/>
      <c r="F178">
        <f>IF(AND(D178="High", OR(E178="High", E178="Critical")), "Critical", IF(AND(D178="Medium", E178="Critical"), "Critical", IF(OR(AND(D178="High", E178="Medium"), AND(D178="Medium", E178="High")), "High", IF(OR(AND(D178="Low", E178="High"), AND(D178="Medium", E178="Medium")), "Medium", "Low"))))</f>
        <v/>
      </c>
      <c r="G178">
        <f>IF(F178="Critical", 4, IF(F178="High", 3, IF(F178="Medium", 2, 1)))</f>
        <v/>
      </c>
      <c r="H178" s="4" t="n"/>
      <c r="I178" s="4" t="n"/>
      <c r="J178" s="4" t="n"/>
    </row>
    <row r="179">
      <c r="A179" s="4" t="n"/>
      <c r="B179" s="4" t="n"/>
      <c r="C179" s="4" t="n"/>
      <c r="D179" s="4" t="n"/>
      <c r="E179" s="4" t="n"/>
      <c r="F179">
        <f>IF(AND(D179="High", OR(E179="High", E179="Critical")), "Critical", IF(AND(D179="Medium", E179="Critical"), "Critical", IF(OR(AND(D179="High", E179="Medium"), AND(D179="Medium", E179="High")), "High", IF(OR(AND(D179="Low", E179="High"), AND(D179="Medium", E179="Medium")), "Medium", "Low"))))</f>
        <v/>
      </c>
      <c r="G179">
        <f>IF(F179="Critical", 4, IF(F179="High", 3, IF(F179="Medium", 2, 1)))</f>
        <v/>
      </c>
      <c r="H179" s="4" t="n"/>
      <c r="I179" s="4" t="n"/>
      <c r="J179" s="4" t="n"/>
    </row>
    <row r="180">
      <c r="A180" s="4" t="n"/>
      <c r="B180" s="4" t="n"/>
      <c r="C180" s="4" t="n"/>
      <c r="D180" s="4" t="n"/>
      <c r="E180" s="4" t="n"/>
      <c r="F180">
        <f>IF(AND(D180="High", OR(E180="High", E180="Critical")), "Critical", IF(AND(D180="Medium", E180="Critical"), "Critical", IF(OR(AND(D180="High", E180="Medium"), AND(D180="Medium", E180="High")), "High", IF(OR(AND(D180="Low", E180="High"), AND(D180="Medium", E180="Medium")), "Medium", "Low"))))</f>
        <v/>
      </c>
      <c r="G180">
        <f>IF(F180="Critical", 4, IF(F180="High", 3, IF(F180="Medium", 2, 1)))</f>
        <v/>
      </c>
      <c r="H180" s="4" t="n"/>
      <c r="I180" s="4" t="n"/>
      <c r="J180" s="4" t="n"/>
    </row>
    <row r="181">
      <c r="A181" s="4" t="n"/>
      <c r="B181" s="4" t="n"/>
      <c r="C181" s="4" t="n"/>
      <c r="D181" s="4" t="n"/>
      <c r="E181" s="4" t="n"/>
      <c r="F181">
        <f>IF(AND(D181="High", OR(E181="High", E181="Critical")), "Critical", IF(AND(D181="Medium", E181="Critical"), "Critical", IF(OR(AND(D181="High", E181="Medium"), AND(D181="Medium", E181="High")), "High", IF(OR(AND(D181="Low", E181="High"), AND(D181="Medium", E181="Medium")), "Medium", "Low"))))</f>
        <v/>
      </c>
      <c r="G181">
        <f>IF(F181="Critical", 4, IF(F181="High", 3, IF(F181="Medium", 2, 1)))</f>
        <v/>
      </c>
      <c r="H181" s="4" t="n"/>
      <c r="I181" s="4" t="n"/>
      <c r="J181" s="4" t="n"/>
    </row>
    <row r="182">
      <c r="A182" s="4" t="n"/>
      <c r="B182" s="4" t="n"/>
      <c r="C182" s="4" t="n"/>
      <c r="D182" s="4" t="n"/>
      <c r="E182" s="4" t="n"/>
      <c r="F182">
        <f>IF(AND(D182="High", OR(E182="High", E182="Critical")), "Critical", IF(AND(D182="Medium", E182="Critical"), "Critical", IF(OR(AND(D182="High", E182="Medium"), AND(D182="Medium", E182="High")), "High", IF(OR(AND(D182="Low", E182="High"), AND(D182="Medium", E182="Medium")), "Medium", "Low"))))</f>
        <v/>
      </c>
      <c r="G182">
        <f>IF(F182="Critical", 4, IF(F182="High", 3, IF(F182="Medium", 2, 1)))</f>
        <v/>
      </c>
      <c r="H182" s="4" t="n"/>
      <c r="I182" s="4" t="n"/>
      <c r="J182" s="4" t="n"/>
    </row>
    <row r="183">
      <c r="A183" s="4" t="n"/>
      <c r="B183" s="4" t="n"/>
      <c r="C183" s="4" t="n"/>
      <c r="D183" s="4" t="n"/>
      <c r="E183" s="4" t="n"/>
      <c r="F183">
        <f>IF(AND(D183="High", OR(E183="High", E183="Critical")), "Critical", IF(AND(D183="Medium", E183="Critical"), "Critical", IF(OR(AND(D183="High", E183="Medium"), AND(D183="Medium", E183="High")), "High", IF(OR(AND(D183="Low", E183="High"), AND(D183="Medium", E183="Medium")), "Medium", "Low"))))</f>
        <v/>
      </c>
      <c r="G183">
        <f>IF(F183="Critical", 4, IF(F183="High", 3, IF(F183="Medium", 2, 1)))</f>
        <v/>
      </c>
      <c r="H183" s="4" t="n"/>
      <c r="I183" s="4" t="n"/>
      <c r="J183" s="4" t="n"/>
    </row>
    <row r="184">
      <c r="A184" s="4" t="n"/>
      <c r="B184" s="4" t="n"/>
      <c r="C184" s="4" t="n"/>
      <c r="D184" s="4" t="n"/>
      <c r="E184" s="4" t="n"/>
      <c r="F184">
        <f>IF(AND(D184="High", OR(E184="High", E184="Critical")), "Critical", IF(AND(D184="Medium", E184="Critical"), "Critical", IF(OR(AND(D184="High", E184="Medium"), AND(D184="Medium", E184="High")), "High", IF(OR(AND(D184="Low", E184="High"), AND(D184="Medium", E184="Medium")), "Medium", "Low"))))</f>
        <v/>
      </c>
      <c r="G184">
        <f>IF(F184="Critical", 4, IF(F184="High", 3, IF(F184="Medium", 2, 1)))</f>
        <v/>
      </c>
      <c r="H184" s="4" t="n"/>
      <c r="I184" s="4" t="n"/>
      <c r="J184" s="4" t="n"/>
    </row>
    <row r="185">
      <c r="A185" s="4" t="n"/>
      <c r="B185" s="4" t="n"/>
      <c r="C185" s="4" t="n"/>
      <c r="D185" s="4" t="n"/>
      <c r="E185" s="4" t="n"/>
      <c r="F185">
        <f>IF(AND(D185="High", OR(E185="High", E185="Critical")), "Critical", IF(AND(D185="Medium", E185="Critical"), "Critical", IF(OR(AND(D185="High", E185="Medium"), AND(D185="Medium", E185="High")), "High", IF(OR(AND(D185="Low", E185="High"), AND(D185="Medium", E185="Medium")), "Medium", "Low"))))</f>
        <v/>
      </c>
      <c r="G185">
        <f>IF(F185="Critical", 4, IF(F185="High", 3, IF(F185="Medium", 2, 1)))</f>
        <v/>
      </c>
      <c r="H185" s="4" t="n"/>
      <c r="I185" s="4" t="n"/>
      <c r="J185" s="4" t="n"/>
    </row>
    <row r="186">
      <c r="A186" s="4" t="n"/>
      <c r="B186" s="4" t="n"/>
      <c r="C186" s="4" t="n"/>
      <c r="D186" s="4" t="n"/>
      <c r="E186" s="4" t="n"/>
      <c r="F186">
        <f>IF(AND(D186="High", OR(E186="High", E186="Critical")), "Critical", IF(AND(D186="Medium", E186="Critical"), "Critical", IF(OR(AND(D186="High", E186="Medium"), AND(D186="Medium", E186="High")), "High", IF(OR(AND(D186="Low", E186="High"), AND(D186="Medium", E186="Medium")), "Medium", "Low"))))</f>
        <v/>
      </c>
      <c r="G186">
        <f>IF(F186="Critical", 4, IF(F186="High", 3, IF(F186="Medium", 2, 1)))</f>
        <v/>
      </c>
      <c r="H186" s="4" t="n"/>
      <c r="I186" s="4" t="n"/>
      <c r="J186" s="4" t="n"/>
    </row>
    <row r="187">
      <c r="A187" s="4" t="n"/>
      <c r="B187" s="4" t="n"/>
      <c r="C187" s="4" t="n"/>
      <c r="D187" s="4" t="n"/>
      <c r="E187" s="4" t="n"/>
      <c r="F187">
        <f>IF(AND(D187="High", OR(E187="High", E187="Critical")), "Critical", IF(AND(D187="Medium", E187="Critical"), "Critical", IF(OR(AND(D187="High", E187="Medium"), AND(D187="Medium", E187="High")), "High", IF(OR(AND(D187="Low", E187="High"), AND(D187="Medium", E187="Medium")), "Medium", "Low"))))</f>
        <v/>
      </c>
      <c r="G187">
        <f>IF(F187="Critical", 4, IF(F187="High", 3, IF(F187="Medium", 2, 1)))</f>
        <v/>
      </c>
      <c r="H187" s="4" t="n"/>
      <c r="I187" s="4" t="n"/>
      <c r="J187" s="4" t="n"/>
    </row>
    <row r="188">
      <c r="A188" s="4" t="n"/>
      <c r="B188" s="4" t="n"/>
      <c r="C188" s="4" t="n"/>
      <c r="D188" s="4" t="n"/>
      <c r="E188" s="4" t="n"/>
      <c r="F188">
        <f>IF(AND(D188="High", OR(E188="High", E188="Critical")), "Critical", IF(AND(D188="Medium", E188="Critical"), "Critical", IF(OR(AND(D188="High", E188="Medium"), AND(D188="Medium", E188="High")), "High", IF(OR(AND(D188="Low", E188="High"), AND(D188="Medium", E188="Medium")), "Medium", "Low"))))</f>
        <v/>
      </c>
      <c r="G188">
        <f>IF(F188="Critical", 4, IF(F188="High", 3, IF(F188="Medium", 2, 1)))</f>
        <v/>
      </c>
      <c r="H188" s="4" t="n"/>
      <c r="I188" s="4" t="n"/>
      <c r="J188" s="4" t="n"/>
    </row>
    <row r="189">
      <c r="A189" s="4" t="n"/>
      <c r="B189" s="4" t="n"/>
      <c r="C189" s="4" t="n"/>
      <c r="D189" s="4" t="n"/>
      <c r="E189" s="4" t="n"/>
      <c r="F189">
        <f>IF(AND(D189="High", OR(E189="High", E189="Critical")), "Critical", IF(AND(D189="Medium", E189="Critical"), "Critical", IF(OR(AND(D189="High", E189="Medium"), AND(D189="Medium", E189="High")), "High", IF(OR(AND(D189="Low", E189="High"), AND(D189="Medium", E189="Medium")), "Medium", "Low"))))</f>
        <v/>
      </c>
      <c r="G189">
        <f>IF(F189="Critical", 4, IF(F189="High", 3, IF(F189="Medium", 2, 1)))</f>
        <v/>
      </c>
      <c r="H189" s="4" t="n"/>
      <c r="I189" s="4" t="n"/>
      <c r="J189" s="4" t="n"/>
    </row>
    <row r="190">
      <c r="A190" s="4" t="n"/>
      <c r="B190" s="4" t="n"/>
      <c r="C190" s="4" t="n"/>
      <c r="D190" s="4" t="n"/>
      <c r="E190" s="4" t="n"/>
      <c r="F190">
        <f>IF(AND(D190="High", OR(E190="High", E190="Critical")), "Critical", IF(AND(D190="Medium", E190="Critical"), "Critical", IF(OR(AND(D190="High", E190="Medium"), AND(D190="Medium", E190="High")), "High", IF(OR(AND(D190="Low", E190="High"), AND(D190="Medium", E190="Medium")), "Medium", "Low"))))</f>
        <v/>
      </c>
      <c r="G190">
        <f>IF(F190="Critical", 4, IF(F190="High", 3, IF(F190="Medium", 2, 1)))</f>
        <v/>
      </c>
      <c r="H190" s="4" t="n"/>
      <c r="I190" s="4" t="n"/>
      <c r="J190" s="4" t="n"/>
    </row>
    <row r="191">
      <c r="A191" s="4" t="n"/>
      <c r="B191" s="4" t="n"/>
      <c r="C191" s="4" t="n"/>
      <c r="D191" s="4" t="n"/>
      <c r="E191" s="4" t="n"/>
      <c r="F191">
        <f>IF(AND(D191="High", OR(E191="High", E191="Critical")), "Critical", IF(AND(D191="Medium", E191="Critical"), "Critical", IF(OR(AND(D191="High", E191="Medium"), AND(D191="Medium", E191="High")), "High", IF(OR(AND(D191="Low", E191="High"), AND(D191="Medium", E191="Medium")), "Medium", "Low"))))</f>
        <v/>
      </c>
      <c r="G191">
        <f>IF(F191="Critical", 4, IF(F191="High", 3, IF(F191="Medium", 2, 1)))</f>
        <v/>
      </c>
      <c r="H191" s="4" t="n"/>
      <c r="I191" s="4" t="n"/>
      <c r="J191" s="4" t="n"/>
    </row>
    <row r="192">
      <c r="A192" s="4" t="n"/>
      <c r="B192" s="4" t="n"/>
      <c r="C192" s="4" t="n"/>
      <c r="D192" s="4" t="n"/>
      <c r="E192" s="4" t="n"/>
      <c r="F192">
        <f>IF(AND(D192="High", OR(E192="High", E192="Critical")), "Critical", IF(AND(D192="Medium", E192="Critical"), "Critical", IF(OR(AND(D192="High", E192="Medium"), AND(D192="Medium", E192="High")), "High", IF(OR(AND(D192="Low", E192="High"), AND(D192="Medium", E192="Medium")), "Medium", "Low"))))</f>
        <v/>
      </c>
      <c r="G192">
        <f>IF(F192="Critical", 4, IF(F192="High", 3, IF(F192="Medium", 2, 1)))</f>
        <v/>
      </c>
      <c r="H192" s="4" t="n"/>
      <c r="I192" s="4" t="n"/>
      <c r="J192" s="4" t="n"/>
    </row>
    <row r="193">
      <c r="A193" s="4" t="n"/>
      <c r="B193" s="4" t="n"/>
      <c r="C193" s="4" t="n"/>
      <c r="D193" s="4" t="n"/>
      <c r="E193" s="4" t="n"/>
      <c r="F193">
        <f>IF(AND(D193="High", OR(E193="High", E193="Critical")), "Critical", IF(AND(D193="Medium", E193="Critical"), "Critical", IF(OR(AND(D193="High", E193="Medium"), AND(D193="Medium", E193="High")), "High", IF(OR(AND(D193="Low", E193="High"), AND(D193="Medium", E193="Medium")), "Medium", "Low"))))</f>
        <v/>
      </c>
      <c r="G193">
        <f>IF(F193="Critical", 4, IF(F193="High", 3, IF(F193="Medium", 2, 1)))</f>
        <v/>
      </c>
      <c r="H193" s="4" t="n"/>
      <c r="I193" s="4" t="n"/>
      <c r="J193" s="4" t="n"/>
    </row>
    <row r="194">
      <c r="A194" s="4" t="n"/>
      <c r="B194" s="4" t="n"/>
      <c r="C194" s="4" t="n"/>
      <c r="D194" s="4" t="n"/>
      <c r="E194" s="4" t="n"/>
      <c r="F194">
        <f>IF(AND(D194="High", OR(E194="High", E194="Critical")), "Critical", IF(AND(D194="Medium", E194="Critical"), "Critical", IF(OR(AND(D194="High", E194="Medium"), AND(D194="Medium", E194="High")), "High", IF(OR(AND(D194="Low", E194="High"), AND(D194="Medium", E194="Medium")), "Medium", "Low"))))</f>
        <v/>
      </c>
      <c r="G194">
        <f>IF(F194="Critical", 4, IF(F194="High", 3, IF(F194="Medium", 2, 1)))</f>
        <v/>
      </c>
      <c r="H194" s="4" t="n"/>
      <c r="I194" s="4" t="n"/>
      <c r="J194" s="4" t="n"/>
    </row>
    <row r="195">
      <c r="A195" s="4" t="n"/>
      <c r="B195" s="4" t="n"/>
      <c r="C195" s="4" t="n"/>
      <c r="D195" s="4" t="n"/>
      <c r="E195" s="4" t="n"/>
      <c r="F195">
        <f>IF(AND(D195="High", OR(E195="High", E195="Critical")), "Critical", IF(AND(D195="Medium", E195="Critical"), "Critical", IF(OR(AND(D195="High", E195="Medium"), AND(D195="Medium", E195="High")), "High", IF(OR(AND(D195="Low", E195="High"), AND(D195="Medium", E195="Medium")), "Medium", "Low"))))</f>
        <v/>
      </c>
      <c r="G195">
        <f>IF(F195="Critical", 4, IF(F195="High", 3, IF(F195="Medium", 2, 1)))</f>
        <v/>
      </c>
      <c r="H195" s="4" t="n"/>
      <c r="I195" s="4" t="n"/>
      <c r="J195" s="4" t="n"/>
    </row>
    <row r="196">
      <c r="A196" s="4" t="n"/>
      <c r="B196" s="4" t="n"/>
      <c r="C196" s="4" t="n"/>
      <c r="D196" s="4" t="n"/>
      <c r="E196" s="4" t="n"/>
      <c r="F196">
        <f>IF(AND(D196="High", OR(E196="High", E196="Critical")), "Critical", IF(AND(D196="Medium", E196="Critical"), "Critical", IF(OR(AND(D196="High", E196="Medium"), AND(D196="Medium", E196="High")), "High", IF(OR(AND(D196="Low", E196="High"), AND(D196="Medium", E196="Medium")), "Medium", "Low"))))</f>
        <v/>
      </c>
      <c r="G196">
        <f>IF(F196="Critical", 4, IF(F196="High", 3, IF(F196="Medium", 2, 1)))</f>
        <v/>
      </c>
      <c r="H196" s="4" t="n"/>
      <c r="I196" s="4" t="n"/>
      <c r="J196" s="4" t="n"/>
    </row>
    <row r="197">
      <c r="A197" s="4" t="n"/>
      <c r="B197" s="4" t="n"/>
      <c r="C197" s="4" t="n"/>
      <c r="D197" s="4" t="n"/>
      <c r="E197" s="4" t="n"/>
      <c r="F197">
        <f>IF(AND(D197="High", OR(E197="High", E197="Critical")), "Critical", IF(AND(D197="Medium", E197="Critical"), "Critical", IF(OR(AND(D197="High", E197="Medium"), AND(D197="Medium", E197="High")), "High", IF(OR(AND(D197="Low", E197="High"), AND(D197="Medium", E197="Medium")), "Medium", "Low"))))</f>
        <v/>
      </c>
      <c r="G197">
        <f>IF(F197="Critical", 4, IF(F197="High", 3, IF(F197="Medium", 2, 1)))</f>
        <v/>
      </c>
      <c r="H197" s="4" t="n"/>
      <c r="I197" s="4" t="n"/>
      <c r="J197" s="4" t="n"/>
    </row>
    <row r="198">
      <c r="A198" s="4" t="n"/>
      <c r="B198" s="4" t="n"/>
      <c r="C198" s="4" t="n"/>
      <c r="D198" s="4" t="n"/>
      <c r="E198" s="4" t="n"/>
      <c r="F198">
        <f>IF(AND(D198="High", OR(E198="High", E198="Critical")), "Critical", IF(AND(D198="Medium", E198="Critical"), "Critical", IF(OR(AND(D198="High", E198="Medium"), AND(D198="Medium", E198="High")), "High", IF(OR(AND(D198="Low", E198="High"), AND(D198="Medium", E198="Medium")), "Medium", "Low"))))</f>
        <v/>
      </c>
      <c r="G198">
        <f>IF(F198="Critical", 4, IF(F198="High", 3, IF(F198="Medium", 2, 1)))</f>
        <v/>
      </c>
      <c r="H198" s="4" t="n"/>
      <c r="I198" s="4" t="n"/>
      <c r="J198" s="4" t="n"/>
    </row>
    <row r="199">
      <c r="A199" s="4" t="n"/>
      <c r="B199" s="4" t="n"/>
      <c r="C199" s="4" t="n"/>
      <c r="D199" s="4" t="n"/>
      <c r="E199" s="4" t="n"/>
      <c r="F199">
        <f>IF(AND(D199="High", OR(E199="High", E199="Critical")), "Critical", IF(AND(D199="Medium", E199="Critical"), "Critical", IF(OR(AND(D199="High", E199="Medium"), AND(D199="Medium", E199="High")), "High", IF(OR(AND(D199="Low", E199="High"), AND(D199="Medium", E199="Medium")), "Medium", "Low"))))</f>
        <v/>
      </c>
      <c r="G199">
        <f>IF(F199="Critical", 4, IF(F199="High", 3, IF(F199="Medium", 2, 1)))</f>
        <v/>
      </c>
      <c r="H199" s="4" t="n"/>
      <c r="I199" s="4" t="n"/>
      <c r="J199" s="4" t="n"/>
    </row>
    <row r="200">
      <c r="A200" s="4" t="n"/>
      <c r="B200" s="4" t="n"/>
      <c r="C200" s="4" t="n"/>
      <c r="D200" s="4" t="n"/>
      <c r="E200" s="4" t="n"/>
      <c r="F200">
        <f>IF(AND(D200="High", OR(E200="High", E200="Critical")), "Critical", IF(AND(D200="Medium", E200="Critical"), "Critical", IF(OR(AND(D200="High", E200="Medium"), AND(D200="Medium", E200="High")), "High", IF(OR(AND(D200="Low", E200="High"), AND(D200="Medium", E200="Medium")), "Medium", "Low"))))</f>
        <v/>
      </c>
      <c r="G200">
        <f>IF(F200="Critical", 4, IF(F200="High", 3, IF(F200="Medium", 2, 1)))</f>
        <v/>
      </c>
      <c r="H200" s="4" t="n"/>
      <c r="I200" s="4" t="n"/>
      <c r="J20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conditionalFormatting sqref="F2:F200">
    <cfRule type="cellIs" priority="1" operator="equal" dxfId="3">
      <formula>"Critical"</formula>
    </cfRule>
    <cfRule type="cellIs" priority="2" operator="equal" dxfId="4">
      <formula>"High"</formula>
    </cfRule>
  </conditionalFormatting>
  <dataValidations count="2">
    <dataValidation sqref="D2:D200" showDropDown="0" showInputMessage="0" showErrorMessage="0" allowBlank="1" type="list">
      <formula1>"High,Medium,Low"</formula1>
    </dataValidation>
    <dataValidation sqref="E2:E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60" customWidth="1" min="4" max="4"/>
    <col width="25" customWidth="1" min="5" max="5"/>
    <col width="12" customWidth="1" min="6" max="6"/>
    <col width="12" customWidth="1" min="7" max="7"/>
    <col width="20" customWidth="1" min="8" max="8"/>
    <col width="10" customWidth="1" min="9" max="9"/>
    <col width="12" customWidth="1" min="10" max="10"/>
  </cols>
  <sheetData>
    <row r="1">
      <c r="A1" s="3" t="inlineStr">
        <is>
          <t>Action ID</t>
        </is>
      </c>
      <c r="B1" s="3" t="inlineStr">
        <is>
          <t>TOM ID</t>
        </is>
      </c>
      <c r="C1" s="3" t="inlineStr">
        <is>
          <t>Gap Description</t>
        </is>
      </c>
      <c r="D1" s="3" t="inlineStr">
        <is>
          <t>Proposed Solution</t>
        </is>
      </c>
      <c r="E1" s="3" t="inlineStr">
        <is>
          <t>Owner</t>
        </is>
      </c>
      <c r="F1" s="3" t="inlineStr">
        <is>
          <t>Start Date</t>
        </is>
      </c>
      <c r="G1" s="3" t="inlineStr">
        <is>
          <t>Target Date</t>
        </is>
      </c>
      <c r="H1" s="3" t="inlineStr">
        <is>
          <t>Status</t>
        </is>
      </c>
      <c r="I1" s="3" t="inlineStr">
        <is>
          <t>% Complete</t>
        </is>
      </c>
      <c r="J1" s="3" t="inlineStr">
        <is>
          <t>Completion Date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conditionalFormatting sqref="H2:H200">
    <cfRule type="cellIs" priority="1" operator="equal" dxfId="0">
      <formula>"Complete"</formula>
    </cfRule>
    <cfRule type="cellIs" priority="2" operator="equal" dxfId="2">
      <formula>"Blocked"</formula>
    </cfRule>
    <cfRule type="expression" priority="3" dxfId="4">
      <formula>AND(H2="In Progress", G2&lt;TODAY())</formula>
    </cfRule>
  </conditionalFormatting>
  <dataValidations count="1">
    <dataValidation sqref="H2:H200" showDropDown="0" showInputMessage="0" showErrorMessage="0" allowBlank="1" type="list">
      <formula1>"Not Started,In Progress,Blocked,Complete,Cancelled"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TOMS COMPLIANCE DASHBOARD</t>
        </is>
      </c>
    </row>
    <row r="2">
      <c r="A2" s="9" t="inlineStr">
        <is>
          <t>Generated: 31.01.2026 03:16</t>
        </is>
      </c>
    </row>
    <row r="5">
      <c r="A5" s="6" t="inlineStr">
        <is>
          <t>IMPLEMENTATION STATUS</t>
        </is>
      </c>
    </row>
    <row r="6">
      <c r="A6" s="7" t="inlineStr">
        <is>
          <t>Total TOMs</t>
        </is>
      </c>
      <c r="B6" t="n">
        <v>20</v>
      </c>
    </row>
    <row r="7">
      <c r="A7" s="7" t="inlineStr">
        <is>
          <t>Implemented</t>
        </is>
      </c>
      <c r="B7">
        <f>COUNTIF('2. TOM Control Inventory'!D:D, "Implemented")</f>
        <v/>
      </c>
    </row>
    <row r="8">
      <c r="A8" s="7" t="inlineStr">
        <is>
          <t>Partially Implemented</t>
        </is>
      </c>
      <c r="B8">
        <f>COUNTIF('2. TOM Control Inventory'!D:D, "Partially Implemented")</f>
        <v/>
      </c>
    </row>
    <row r="9">
      <c r="A9" s="7" t="inlineStr">
        <is>
          <t>Not Implemented</t>
        </is>
      </c>
      <c r="B9">
        <f>COUNTIF('2. TOM Control Inventory'!D:D, "Not Implemented")</f>
        <v/>
      </c>
    </row>
    <row r="10">
      <c r="A10" s="7" t="inlineStr">
        <is>
          <t>Implementation Rate</t>
        </is>
      </c>
      <c r="B10" s="10">
        <f>(B6+(B7*0.5))/B5</f>
        <v/>
      </c>
    </row>
    <row r="12">
      <c r="A12" s="6" t="inlineStr">
        <is>
          <t>CONTROL EFFECTIVENESS</t>
        </is>
      </c>
    </row>
    <row r="13">
      <c r="A13" s="7" t="inlineStr">
        <is>
          <t>Effective Controls</t>
        </is>
      </c>
      <c r="B13">
        <f>COUNTIF('2. TOM Control Inventory'!H:H, "Effective")</f>
        <v/>
      </c>
    </row>
    <row r="14">
      <c r="A14" s="7" t="inlineStr">
        <is>
          <t>Effectiveness Rate</t>
        </is>
      </c>
      <c r="B14" s="10">
        <f>B12/B6</f>
        <v/>
      </c>
    </row>
    <row r="16">
      <c r="A16" s="6" t="inlineStr">
        <is>
          <t>GAP ANALYSIS</t>
        </is>
      </c>
    </row>
    <row r="17">
      <c r="A17" s="7" t="inlineStr">
        <is>
          <t>Critical Gaps</t>
        </is>
      </c>
      <c r="B17">
        <f>COUNTIF('6. Gap Analysis &amp; Risk'!F:F, "Critical")</f>
        <v/>
      </c>
    </row>
    <row r="18">
      <c r="A18" s="7" t="inlineStr">
        <is>
          <t>High Gaps</t>
        </is>
      </c>
      <c r="B18">
        <f>COUNTIF('6. Gap Analysis &amp; Risk'!F:F, "High")</f>
        <v/>
      </c>
    </row>
    <row r="19">
      <c r="A19" s="7" t="inlineStr">
        <is>
          <t>Total Gaps</t>
        </is>
      </c>
      <c r="B19">
        <f>COUNTA('6. Gap Analysis &amp; Risk'!A:A)-1</f>
        <v/>
      </c>
    </row>
    <row r="21">
      <c r="A21" s="6" t="inlineStr">
        <is>
          <t>REMEDIATION PROGRESS</t>
        </is>
      </c>
    </row>
    <row r="22">
      <c r="A22" s="7" t="inlineStr">
        <is>
          <t>Total Actions</t>
        </is>
      </c>
      <c r="B22">
        <f>COUNTA('7. Remediation Action Plan'!A:A)-1</f>
        <v/>
      </c>
    </row>
    <row r="23">
      <c r="A23" s="7" t="inlineStr">
        <is>
          <t>Completed Actions</t>
        </is>
      </c>
      <c r="B23">
        <f>COUNTIF('7. Remediation Action Plan'!H:H, "Complete")</f>
        <v/>
      </c>
    </row>
    <row r="24">
      <c r="A24" s="7" t="inlineStr">
        <is>
          <t>Remediation Progress</t>
        </is>
      </c>
      <c r="B24" s="10">
        <f>B21/B20</f>
        <v/>
      </c>
    </row>
    <row r="26">
      <c r="A26" s="6" t="inlineStr">
        <is>
          <t>GDPR ART. 32 COMPLIANCE</t>
        </is>
      </c>
    </row>
    <row r="27">
      <c r="A27" s="7" t="inlineStr">
        <is>
          <t>Compliance Score</t>
        </is>
      </c>
      <c r="B27" s="10">
        <f>(B9*0.4 + B13*0.3 + (1-B16/20)*0.2 + B22*0.1)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mergeCells count="6">
    <mergeCell ref="A1:C1"/>
    <mergeCell ref="A5:C5"/>
    <mergeCell ref="A21:C21"/>
    <mergeCell ref="A12:C12"/>
    <mergeCell ref="A26:C26"/>
    <mergeCell ref="A16:C16"/>
  </mergeCells>
  <conditionalFormatting sqref="B27">
    <cfRule type="cellIs" priority="1" operator="greaterThanOrEqual" dxfId="5">
      <formula>0.9</formula>
    </cfRule>
    <cfRule type="cellIs" priority="2" operator="between" dxfId="6">
      <formula>0.7</formula>
      <formula>0.9</formula>
    </cfRule>
    <cfRule type="cellIs" priority="3" operator="lessThan" dxfId="3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2026-01-31T02:16:11Z</dcterms:created>
  <dcterms:modified xmlns:dcterms="http://purl.org/dc/terms/" xmlns:xsi="http://www.w3.org/2001/XMLSchema-instance" xsi:type="dcterms:W3CDTF">2026-01-31T02:16:11Z</dcterms:modified>
</cp:coreProperties>
</file>