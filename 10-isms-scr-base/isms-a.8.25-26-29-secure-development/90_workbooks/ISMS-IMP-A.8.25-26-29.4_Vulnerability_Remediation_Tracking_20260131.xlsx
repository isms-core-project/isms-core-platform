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Open_Vulnerabilities_Inventory" sheetId="2" state="visible" r:id="rId2"/>
    <sheet xmlns:r="http://schemas.openxmlformats.org/officeDocument/2006/relationships" name="Remediation_SLA_Compliance" sheetId="3" state="visible" r:id="rId3"/>
    <sheet xmlns:r="http://schemas.openxmlformats.org/officeDocument/2006/relationships" name="Vulnerability_Trends" sheetId="4" state="visible" r:id="rId4"/>
    <sheet xmlns:r="http://schemas.openxmlformats.org/officeDocument/2006/relationships" name="Security_Technical_Debt" sheetId="5" state="visible" r:id="rId5"/>
    <sheet xmlns:r="http://schemas.openxmlformats.org/officeDocument/2006/relationships" name="Compliance_Summary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left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</cols>
  <sheetData>
    <row r="1" ht="40" customHeight="1">
      <c r="A1" s="1" t="inlineStr">
        <is>
          <t>ISMS-IMP-A.8.25-26-29.4
ISO/IEC 27001:2022 - Controls A.8.25, A.8.26, A.8.29: Secure Development</t>
        </is>
      </c>
    </row>
    <row r="2">
      <c r="A2" s="2" t="inlineStr">
        <is>
          <t>ISO/IEC 27001:2022 - Control A.8.29: Security Testing in Development and Acceptance</t>
        </is>
      </c>
    </row>
    <row r="4">
      <c r="A4" s="3" t="inlineStr">
        <is>
          <t>Document ID:</t>
        </is>
      </c>
      <c r="B4" t="inlineStr">
        <is>
          <t>ISMS-IMP-A.8.25-26-29.4</t>
        </is>
      </c>
    </row>
    <row r="5">
      <c r="A5" s="3" t="inlineStr">
        <is>
          <t>Assessment Area:</t>
        </is>
      </c>
      <c r="B5" t="inlineStr">
        <is>
          <t>Vulnerability Remediation Tracking</t>
        </is>
      </c>
    </row>
    <row r="6">
      <c r="A6" s="3" t="inlineStr">
        <is>
          <t>Related Policy:</t>
        </is>
      </c>
      <c r="B6" t="inlineStr">
        <is>
          <t>ISMS-POL-A.8.25-26-29-S4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Monthly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Maintain current vulnerability inventory in Open_Vulnerabilities_Inventory</t>
        </is>
      </c>
    </row>
    <row r="15" ht="20" customHeight="1">
      <c r="A15" s="5" t="inlineStr">
        <is>
          <t>2. Monitor SLA compliance in Remediation_SLA_Compliance</t>
        </is>
      </c>
    </row>
    <row r="16" ht="20" customHeight="1">
      <c r="A16" s="5" t="inlineStr">
        <is>
          <t>3. Track vulnerability trends over time in Vulnerability_Trends</t>
        </is>
      </c>
    </row>
    <row r="17" ht="20" customHeight="1">
      <c r="A17" s="5" t="inlineStr">
        <is>
          <t>4. Document accepted security risks in Security_Technical_Debt</t>
        </is>
      </c>
    </row>
    <row r="18" ht="20" customHeight="1">
      <c r="A18" s="5" t="inlineStr">
        <is>
          <t>5. Review Compliance_Summary for overall remediation performance</t>
        </is>
      </c>
    </row>
    <row r="19" ht="20" customHeight="1">
      <c r="A19" s="5" t="inlineStr">
        <is>
          <t>6. Document evidence in Evidence_Register</t>
        </is>
      </c>
    </row>
    <row r="20" ht="20" customHeight="1">
      <c r="A20" s="5" t="inlineStr">
        <is>
          <t>7. Obtain monthly approvals in Approval_Sign_Off</t>
        </is>
      </c>
    </row>
    <row r="22">
      <c r="A22" s="2" t="inlineStr">
        <is>
          <t>Remediation SLA Reference</t>
        </is>
      </c>
    </row>
    <row r="23">
      <c r="A23" s="6" t="inlineStr">
        <is>
          <t>Severity</t>
        </is>
      </c>
      <c r="B23" s="6" t="inlineStr">
        <is>
          <t>SLA</t>
        </is>
      </c>
      <c r="C23" s="6" t="inlineStr">
        <is>
          <t>Description</t>
        </is>
      </c>
    </row>
    <row r="24">
      <c r="A24" s="7" t="inlineStr">
        <is>
          <t>Critical</t>
        </is>
      </c>
      <c r="B24" t="inlineStr">
        <is>
          <t>7 days</t>
        </is>
      </c>
      <c r="C24" t="inlineStr">
        <is>
          <t>Immediate exploitation, high impact</t>
        </is>
      </c>
    </row>
    <row r="25">
      <c r="A25" s="8" t="inlineStr">
        <is>
          <t>High</t>
        </is>
      </c>
      <c r="B25" t="inlineStr">
        <is>
          <t>30 days</t>
        </is>
      </c>
      <c r="C25" t="inlineStr">
        <is>
          <t>Likely exploitation, significant impact</t>
        </is>
      </c>
    </row>
    <row r="26">
      <c r="A26" t="inlineStr">
        <is>
          <t>Medium</t>
        </is>
      </c>
      <c r="B26" t="inlineStr">
        <is>
          <t>90 days</t>
        </is>
      </c>
      <c r="C26" t="inlineStr">
        <is>
          <t>Exploitation requires conditions, moderate impact</t>
        </is>
      </c>
    </row>
    <row r="27">
      <c r="A27" t="inlineStr">
        <is>
          <t>Low</t>
        </is>
      </c>
      <c r="B27" t="inlineStr">
        <is>
          <t>Best effort</t>
        </is>
      </c>
      <c r="C27" t="inlineStr">
        <is>
          <t>Difficult to exploit or minimal impact</t>
        </is>
      </c>
    </row>
  </sheetData>
  <mergeCells count="4">
    <mergeCell ref="A13:F13"/>
    <mergeCell ref="A2:F2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8" customWidth="1" min="10" max="10"/>
    <col width="20" customWidth="1" min="11" max="11"/>
    <col width="30" customWidth="1" min="12" max="12"/>
  </cols>
  <sheetData>
    <row r="1" ht="30" customHeight="1">
      <c r="A1" s="1" t="inlineStr">
        <is>
          <t>Open Vulnerabilities Inventory</t>
        </is>
      </c>
    </row>
    <row r="2">
      <c r="A2" s="2" t="inlineStr">
        <is>
          <t>Track all open security vulnerabilities with SLA monitoring</t>
        </is>
      </c>
    </row>
    <row r="3">
      <c r="A3" s="6" t="inlineStr">
        <is>
          <t>Vulnerability ID</t>
        </is>
      </c>
      <c r="B3" s="6" t="inlineStr">
        <is>
          <t>Application Name</t>
        </is>
      </c>
      <c r="C3" s="6" t="inlineStr">
        <is>
          <t>Vulnerability Type</t>
        </is>
      </c>
      <c r="D3" s="6" t="inlineStr">
        <is>
          <t>Severity</t>
        </is>
      </c>
      <c r="E3" s="6" t="inlineStr">
        <is>
          <t>Source</t>
        </is>
      </c>
      <c r="F3" s="6" t="inlineStr">
        <is>
          <t>Discovered Date</t>
        </is>
      </c>
      <c r="G3" s="6" t="inlineStr">
        <is>
          <t>Age (days)</t>
        </is>
      </c>
      <c r="H3" s="6" t="inlineStr">
        <is>
          <t>SLA Due Date</t>
        </is>
      </c>
      <c r="I3" s="6" t="inlineStr">
        <is>
          <t>Days Until Due</t>
        </is>
      </c>
      <c r="J3" s="6" t="inlineStr">
        <is>
          <t>Status</t>
        </is>
      </c>
      <c r="K3" s="6" t="inlineStr">
        <is>
          <t>Owner</t>
        </is>
      </c>
      <c r="L3" s="6" t="inlineStr">
        <is>
          <t>Notes</t>
        </is>
      </c>
    </row>
    <row r="4">
      <c r="A4" s="9" t="inlineStr">
        <is>
          <t>VULN-2025-001</t>
        </is>
      </c>
      <c r="B4" s="9" t="inlineStr">
        <is>
          <t>Customer Portal</t>
        </is>
      </c>
      <c r="C4" s="9" t="inlineStr">
        <is>
          <t>SQL Injection</t>
        </is>
      </c>
      <c r="D4" s="9" t="inlineStr">
        <is>
          <t>High</t>
        </is>
      </c>
      <c r="E4" s="9" t="inlineStr">
        <is>
          <t>SAST</t>
        </is>
      </c>
      <c r="F4" s="9" t="inlineStr">
        <is>
          <t>2024-12-15</t>
        </is>
      </c>
      <c r="G4" s="10">
        <f>TODAY()-F4</f>
        <v/>
      </c>
      <c r="H4">
        <f>IF(D4="Critical",F4+7,IF(D4="High",F4+30,IF(D4="Medium",F4+90,"N/A")))</f>
        <v/>
      </c>
      <c r="I4">
        <f>IF(H4="N/A","N/A",H4-TODAY())</f>
        <v/>
      </c>
      <c r="J4" s="9" t="inlineStr">
        <is>
          <t>In Progress</t>
        </is>
      </c>
      <c r="K4" s="9" t="inlineStr">
        <is>
          <t>Dev Team A</t>
        </is>
      </c>
      <c r="L4" s="9" t="inlineStr">
        <is>
          <t>In payment module</t>
        </is>
      </c>
    </row>
    <row r="5">
      <c r="A5" s="9" t="inlineStr">
        <is>
          <t>VULN-2025-002</t>
        </is>
      </c>
      <c r="B5" s="9" t="inlineStr">
        <is>
          <t>Customer Portal</t>
        </is>
      </c>
      <c r="C5" s="9" t="inlineStr">
        <is>
          <t>XSS</t>
        </is>
      </c>
      <c r="D5" s="9" t="inlineStr">
        <is>
          <t>Medium</t>
        </is>
      </c>
      <c r="E5" s="9" t="inlineStr">
        <is>
          <t>DAST</t>
        </is>
      </c>
      <c r="F5" s="9" t="inlineStr">
        <is>
          <t>2024-12-20</t>
        </is>
      </c>
      <c r="G5" s="10">
        <f>TODAY()-F5</f>
        <v/>
      </c>
      <c r="H5">
        <f>IF(D5="Critical",F5+7,IF(D5="High",F5+30,IF(D5="Medium",F5+90,"N/A")))</f>
        <v/>
      </c>
      <c r="I5">
        <f>IF(H5="N/A","N/A",H5-TODAY())</f>
        <v/>
      </c>
      <c r="J5" s="9" t="inlineStr">
        <is>
          <t>Open</t>
        </is>
      </c>
      <c r="K5" s="9" t="inlineStr">
        <is>
          <t>Dev Team A</t>
        </is>
      </c>
      <c r="L5" s="9" t="inlineStr">
        <is>
          <t>User profile page</t>
        </is>
      </c>
    </row>
    <row r="6">
      <c r="A6" s="9" t="inlineStr">
        <is>
          <t>VULN-2025-003</t>
        </is>
      </c>
      <c r="B6" s="9" t="inlineStr">
        <is>
          <t>Internal HR</t>
        </is>
      </c>
      <c r="C6" s="9" t="inlineStr">
        <is>
          <t>Outdated Dependency</t>
        </is>
      </c>
      <c r="D6" s="9" t="inlineStr">
        <is>
          <t>High</t>
        </is>
      </c>
      <c r="E6" s="9" t="inlineStr">
        <is>
          <t>SCA</t>
        </is>
      </c>
      <c r="F6" s="9" t="inlineStr">
        <is>
          <t>2024-12-10</t>
        </is>
      </c>
      <c r="G6" s="10">
        <f>TODAY()-F6</f>
        <v/>
      </c>
      <c r="H6">
        <f>IF(D6="Critical",F6+7,IF(D6="High",F6+30,IF(D6="Medium",F6+90,"N/A")))</f>
        <v/>
      </c>
      <c r="I6">
        <f>IF(H6="N/A","N/A",H6-TODAY())</f>
        <v/>
      </c>
      <c r="J6" s="9" t="inlineStr">
        <is>
          <t>In Progress</t>
        </is>
      </c>
      <c r="K6" s="9" t="inlineStr">
        <is>
          <t>Dev Team B</t>
        </is>
      </c>
      <c r="L6" s="9" t="inlineStr">
        <is>
          <t>Log4j 2.14.0</t>
        </is>
      </c>
    </row>
    <row r="7">
      <c r="A7" s="9" t="inlineStr">
        <is>
          <t>VULN-2025-004</t>
        </is>
      </c>
      <c r="B7" s="9" t="inlineStr">
        <is>
          <t>Marketing Site</t>
        </is>
      </c>
      <c r="C7" s="9" t="inlineStr">
        <is>
          <t>Missing Security Headers</t>
        </is>
      </c>
      <c r="D7" s="9" t="inlineStr">
        <is>
          <t>Low</t>
        </is>
      </c>
      <c r="E7" s="9" t="inlineStr">
        <is>
          <t>DAST</t>
        </is>
      </c>
      <c r="F7" s="9" t="inlineStr">
        <is>
          <t>2025-01-05</t>
        </is>
      </c>
      <c r="G7" s="10">
        <f>TODAY()-F7</f>
        <v/>
      </c>
      <c r="H7">
        <f>IF(D7="Critical",F7+7,IF(D7="High",F7+30,IF(D7="Medium",F7+90,"N/A")))</f>
        <v/>
      </c>
      <c r="I7">
        <f>IF(H7="N/A","N/A",H7-TODAY())</f>
        <v/>
      </c>
      <c r="J7" s="9" t="inlineStr">
        <is>
          <t>Open</t>
        </is>
      </c>
      <c r="K7" s="9" t="inlineStr">
        <is>
          <t>Dev Team C</t>
        </is>
      </c>
      <c r="L7" s="9" t="inlineStr">
        <is>
          <t>X-Frame-Options</t>
        </is>
      </c>
    </row>
    <row r="8">
      <c r="A8" s="9" t="inlineStr">
        <is>
          <t>VULN-2025-005</t>
        </is>
      </c>
      <c r="B8" s="9" t="inlineStr">
        <is>
          <t>API Gateway</t>
        </is>
      </c>
      <c r="C8" s="9" t="inlineStr">
        <is>
          <t>Authentication Bypass</t>
        </is>
      </c>
      <c r="D8" s="9" t="inlineStr">
        <is>
          <t>Critical</t>
        </is>
      </c>
      <c r="E8" s="9" t="inlineStr">
        <is>
          <t>Pentest</t>
        </is>
      </c>
      <c r="F8" s="9" t="inlineStr">
        <is>
          <t>2025-01-08</t>
        </is>
      </c>
      <c r="G8" s="10">
        <f>TODAY()-F8</f>
        <v/>
      </c>
      <c r="H8">
        <f>IF(D8="Critical",F8+7,IF(D8="High",F8+30,IF(D8="Medium",F8+90,"N/A")))</f>
        <v/>
      </c>
      <c r="I8">
        <f>IF(H8="N/A","N/A",H8-TODAY())</f>
        <v/>
      </c>
      <c r="J8" s="9" t="inlineStr">
        <is>
          <t>In Progress</t>
        </is>
      </c>
      <c r="K8" s="9" t="inlineStr">
        <is>
          <t>Security Team</t>
        </is>
      </c>
      <c r="L8" s="9" t="inlineStr">
        <is>
          <t>OAuth implementation</t>
        </is>
      </c>
    </row>
  </sheetData>
  <mergeCells count="2">
    <mergeCell ref="A2:L2"/>
    <mergeCell ref="A1:L1"/>
  </mergeCells>
  <dataValidations count="5">
    <dataValidation sqref="D4:D1000" showDropDown="0" showInputMessage="0" showErrorMessage="0" allowBlank="0" type="list">
      <formula1>"Critical,High,Medium,Low"</formula1>
    </dataValidation>
    <dataValidation sqref="E4:E1000" showDropDown="0" showInputMessage="0" showErrorMessage="0" allowBlank="0" type="list">
      <formula1>"SAST,DAST,SCA,Pentest,Code Review,Other"</formula1>
    </dataValidation>
    <dataValidation sqref="J4:J1000" showDropDown="0" showInputMessage="0" showErrorMessage="0" allowBlank="0" type="list">
      <formula1>"Open,In Progress,Fixed,Accepted Risk,False Positive"</formula1>
    </dataValidation>
    <dataValidation sqref="C4:C1000" showDropDown="0" showInputMessage="0" showErrorMessage="0" allowBlank="0" type="list">
      <formula1>"SQL Injection,XSS,Authentication Bypass,Authorization Issue,Cryptography,Sensitive Data Exposure,Other"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Remediation SLA Compliance</t>
        </is>
      </c>
    </row>
    <row r="2">
      <c r="A2" s="2" t="inlineStr">
        <is>
          <t>Monitor vulnerability remediation SLA compliance by severity</t>
        </is>
      </c>
    </row>
    <row r="3">
      <c r="A3" s="6" t="inlineStr">
        <is>
          <t>Severity Level</t>
        </is>
      </c>
      <c r="B3" s="6" t="inlineStr">
        <is>
          <t>SLA (days)</t>
        </is>
      </c>
      <c r="C3" s="6" t="inlineStr">
        <is>
          <t>Open Vulnerabilities</t>
        </is>
      </c>
      <c r="D3" s="6" t="inlineStr">
        <is>
          <t>Vulnerabilities Within SLA</t>
        </is>
      </c>
      <c r="E3" s="6" t="inlineStr">
        <is>
          <t>Vulnerabilities Overdue</t>
        </is>
      </c>
      <c r="F3" s="6" t="inlineStr">
        <is>
          <t>Avg Age (days)</t>
        </is>
      </c>
      <c r="G3" s="6" t="inlineStr">
        <is>
          <t>SLA Compliance Rate (%)</t>
        </is>
      </c>
    </row>
    <row r="4">
      <c r="A4" t="inlineStr">
        <is>
          <t>Critical</t>
        </is>
      </c>
      <c r="B4" t="n">
        <v>7</v>
      </c>
      <c r="C4">
        <f>COUNTIFS(Open_Vulnerabilities_Inventory!D:D,A4,Open_Vulnerabilities_Inventory!J:J,"Open")+COUNTIFS(Open_Vulnerabilities_Inventory!D:D,A4,Open_Vulnerabilities_Inventory!J:J,"In Progress")</f>
        <v/>
      </c>
      <c r="D4">
        <f>COUNTIFS(Open_Vulnerabilities_Inventory!D:D,A4,Open_Vulnerabilities_Inventory!I:I,"&gt;=0")</f>
        <v/>
      </c>
      <c r="E4">
        <f>COUNTIFS(Open_Vulnerabilities_Inventory!D:D,A4,Open_Vulnerabilities_Inventory!I:I,"&lt;0")</f>
        <v/>
      </c>
      <c r="F4" s="11">
        <f>AVERAGEIFS(Open_Vulnerabilities_Inventory!G:G,Open_Vulnerabilities_Inventory!D:D,A4)</f>
        <v/>
      </c>
      <c r="G4" s="12">
        <f>IF(C4&gt;0,D4/C4*100,100)</f>
        <v/>
      </c>
    </row>
    <row r="5">
      <c r="A5" t="inlineStr">
        <is>
          <t>High</t>
        </is>
      </c>
      <c r="B5" t="n">
        <v>30</v>
      </c>
      <c r="C5">
        <f>COUNTIFS(Open_Vulnerabilities_Inventory!D:D,A5,Open_Vulnerabilities_Inventory!J:J,"Open")+COUNTIFS(Open_Vulnerabilities_Inventory!D:D,A5,Open_Vulnerabilities_Inventory!J:J,"In Progress")</f>
        <v/>
      </c>
      <c r="D5">
        <f>COUNTIFS(Open_Vulnerabilities_Inventory!D:D,A5,Open_Vulnerabilities_Inventory!I:I,"&gt;=0")</f>
        <v/>
      </c>
      <c r="E5">
        <f>COUNTIFS(Open_Vulnerabilities_Inventory!D:D,A5,Open_Vulnerabilities_Inventory!I:I,"&lt;0")</f>
        <v/>
      </c>
      <c r="F5" s="11">
        <f>AVERAGEIFS(Open_Vulnerabilities_Inventory!G:G,Open_Vulnerabilities_Inventory!D:D,A5)</f>
        <v/>
      </c>
      <c r="G5" s="12">
        <f>IF(C5&gt;0,D5/C5*100,100)</f>
        <v/>
      </c>
    </row>
    <row r="6">
      <c r="A6" t="inlineStr">
        <is>
          <t>Medium</t>
        </is>
      </c>
      <c r="B6" t="n">
        <v>90</v>
      </c>
      <c r="C6">
        <f>COUNTIFS(Open_Vulnerabilities_Inventory!D:D,A6,Open_Vulnerabilities_Inventory!J:J,"Open")+COUNTIFS(Open_Vulnerabilities_Inventory!D:D,A6,Open_Vulnerabilities_Inventory!J:J,"In Progress")</f>
        <v/>
      </c>
      <c r="D6">
        <f>COUNTIFS(Open_Vulnerabilities_Inventory!D:D,A6,Open_Vulnerabilities_Inventory!I:I,"&gt;=0")</f>
        <v/>
      </c>
      <c r="E6">
        <f>COUNTIFS(Open_Vulnerabilities_Inventory!D:D,A6,Open_Vulnerabilities_Inventory!I:I,"&lt;0")</f>
        <v/>
      </c>
      <c r="F6" s="11">
        <f>AVERAGEIFS(Open_Vulnerabilities_Inventory!G:G,Open_Vulnerabilities_Inventory!D:D,A6)</f>
        <v/>
      </c>
      <c r="G6" s="12">
        <f>IF(C6&gt;0,D6/C6*100,100)</f>
        <v/>
      </c>
    </row>
    <row r="7">
      <c r="A7" t="inlineStr">
        <is>
          <t>Low</t>
        </is>
      </c>
      <c r="B7" t="inlineStr">
        <is>
          <t>Best effort</t>
        </is>
      </c>
      <c r="C7">
        <f>COUNTIFS(Open_Vulnerabilities_Inventory!D:D,A7,Open_Vulnerabilities_Inventory!J:J,"Open")+COUNTIFS(Open_Vulnerabilities_Inventory!D:D,A7,Open_Vulnerabilities_Inventory!J:J,"In Progress")</f>
        <v/>
      </c>
      <c r="D7" t="inlineStr">
        <is>
          <t>N/A</t>
        </is>
      </c>
      <c r="E7" t="inlineStr">
        <is>
          <t>N/A</t>
        </is>
      </c>
      <c r="F7" s="11">
        <f>AVERAGEIFS(Open_Vulnerabilities_Inventory!G:G,Open_Vulnerabilities_Inventory!D:D,A7)</f>
        <v/>
      </c>
      <c r="G7" t="inlineStr">
        <is>
          <t>N/A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Vulnerability Trends Over Time</t>
        </is>
      </c>
    </row>
    <row r="2">
      <c r="A2" s="2" t="inlineStr">
        <is>
          <t>Track vulnerability discovery and remediation trends month-over-month</t>
        </is>
      </c>
    </row>
    <row r="3">
      <c r="A3" s="6" t="inlineStr">
        <is>
          <t>Month</t>
        </is>
      </c>
      <c r="B3" s="6" t="inlineStr">
        <is>
          <t>Critical Opened</t>
        </is>
      </c>
      <c r="C3" s="6" t="inlineStr">
        <is>
          <t>Critical Closed</t>
        </is>
      </c>
      <c r="D3" s="6" t="inlineStr">
        <is>
          <t>High Opened</t>
        </is>
      </c>
      <c r="E3" s="6" t="inlineStr">
        <is>
          <t>High Closed</t>
        </is>
      </c>
      <c r="F3" s="6" t="inlineStr">
        <is>
          <t>Medium Opened</t>
        </is>
      </c>
      <c r="G3" s="6" t="inlineStr">
        <is>
          <t>Medium Closed</t>
        </is>
      </c>
      <c r="H3" s="6" t="inlineStr">
        <is>
          <t>Low Opened</t>
        </is>
      </c>
      <c r="I3" s="6" t="inlineStr">
        <is>
          <t>Low Closed</t>
        </is>
      </c>
      <c r="J3" s="6" t="inlineStr">
        <is>
          <t>Total Opened</t>
        </is>
      </c>
      <c r="K3" s="6" t="inlineStr">
        <is>
          <t>Total Closed</t>
        </is>
      </c>
      <c r="L3" s="6" t="inlineStr">
        <is>
          <t>Net Change</t>
        </is>
      </c>
    </row>
    <row r="4">
      <c r="A4" t="inlineStr">
        <is>
          <t>2024-08</t>
        </is>
      </c>
      <c r="B4" s="9" t="n">
        <v>0</v>
      </c>
      <c r="C4" s="9" t="n">
        <v>0</v>
      </c>
      <c r="D4" s="9" t="n">
        <v>3</v>
      </c>
      <c r="E4" s="9" t="n">
        <v>2</v>
      </c>
      <c r="F4" s="9" t="n">
        <v>8</v>
      </c>
      <c r="G4" s="9" t="n">
        <v>6</v>
      </c>
      <c r="H4" s="9" t="n">
        <v>12</v>
      </c>
      <c r="I4" s="9" t="n">
        <v>10</v>
      </c>
      <c r="J4">
        <f>B4+D4+F4+H4</f>
        <v/>
      </c>
      <c r="K4">
        <f>C4+E4+G4+I4</f>
        <v/>
      </c>
      <c r="L4">
        <f>J4-K4</f>
        <v/>
      </c>
    </row>
    <row r="5">
      <c r="A5" t="inlineStr">
        <is>
          <t>2024-09</t>
        </is>
      </c>
      <c r="B5" s="9" t="n">
        <v>0</v>
      </c>
      <c r="C5" s="9" t="n">
        <v>0</v>
      </c>
      <c r="D5" s="9" t="n">
        <v>2</v>
      </c>
      <c r="E5" s="9" t="n">
        <v>3</v>
      </c>
      <c r="F5" s="9" t="n">
        <v>10</v>
      </c>
      <c r="G5" s="9" t="n">
        <v>8</v>
      </c>
      <c r="H5" s="9" t="n">
        <v>15</v>
      </c>
      <c r="I5" s="9" t="n">
        <v>12</v>
      </c>
      <c r="J5">
        <f>B5+D5+F5+H5</f>
        <v/>
      </c>
      <c r="K5">
        <f>C5+E5+G5+I5</f>
        <v/>
      </c>
      <c r="L5">
        <f>J5-K5</f>
        <v/>
      </c>
    </row>
    <row r="6">
      <c r="A6" t="inlineStr">
        <is>
          <t>2024-10</t>
        </is>
      </c>
      <c r="B6" s="9" t="n">
        <v>1</v>
      </c>
      <c r="C6" s="9" t="n">
        <v>1</v>
      </c>
      <c r="D6" s="9" t="n">
        <v>4</v>
      </c>
      <c r="E6" s="9" t="n">
        <v>3</v>
      </c>
      <c r="F6" s="9" t="n">
        <v>6</v>
      </c>
      <c r="G6" s="9" t="n">
        <v>8</v>
      </c>
      <c r="H6" s="9" t="n">
        <v>10</v>
      </c>
      <c r="I6" s="9" t="n">
        <v>11</v>
      </c>
      <c r="J6">
        <f>B6+D6+F6+H6</f>
        <v/>
      </c>
      <c r="K6">
        <f>C6+E6+G6+I6</f>
        <v/>
      </c>
      <c r="L6">
        <f>J6-K6</f>
        <v/>
      </c>
    </row>
    <row r="7">
      <c r="A7" t="inlineStr">
        <is>
          <t>2024-11</t>
        </is>
      </c>
      <c r="B7" s="9" t="n">
        <v>0</v>
      </c>
      <c r="C7" s="9" t="n">
        <v>0</v>
      </c>
      <c r="D7" s="9" t="n">
        <v>3</v>
      </c>
      <c r="E7" s="9" t="n">
        <v>4</v>
      </c>
      <c r="F7" s="9" t="n">
        <v>9</v>
      </c>
      <c r="G7" s="9" t="n">
        <v>7</v>
      </c>
      <c r="H7" s="9" t="n">
        <v>14</v>
      </c>
      <c r="I7" s="9" t="n">
        <v>13</v>
      </c>
      <c r="J7">
        <f>B7+D7+F7+H7</f>
        <v/>
      </c>
      <c r="K7">
        <f>C7+E7+G7+I7</f>
        <v/>
      </c>
      <c r="L7">
        <f>J7-K7</f>
        <v/>
      </c>
    </row>
    <row r="8">
      <c r="A8" t="inlineStr">
        <is>
          <t>2024-12</t>
        </is>
      </c>
      <c r="B8" s="9" t="n">
        <v>0</v>
      </c>
      <c r="C8" s="9" t="n">
        <v>0</v>
      </c>
      <c r="D8" s="9" t="n">
        <v>5</v>
      </c>
      <c r="E8" s="9" t="n">
        <v>3</v>
      </c>
      <c r="F8" s="9" t="n">
        <v>12</v>
      </c>
      <c r="G8" s="9" t="n">
        <v>10</v>
      </c>
      <c r="H8" s="9" t="n">
        <v>18</v>
      </c>
      <c r="I8" s="9" t="n">
        <v>15</v>
      </c>
      <c r="J8">
        <f>B8+D8+F8+H8</f>
        <v/>
      </c>
      <c r="K8">
        <f>C8+E8+G8+I8</f>
        <v/>
      </c>
      <c r="L8">
        <f>J8-K8</f>
        <v/>
      </c>
    </row>
    <row r="9">
      <c r="A9" t="inlineStr">
        <is>
          <t>2025-01</t>
        </is>
      </c>
      <c r="B9" s="9" t="n">
        <v>1</v>
      </c>
      <c r="C9" s="9" t="n">
        <v>0</v>
      </c>
      <c r="D9" s="9" t="n">
        <v>4</v>
      </c>
      <c r="E9" s="9" t="n">
        <v>2</v>
      </c>
      <c r="F9" s="9" t="n">
        <v>8</v>
      </c>
      <c r="G9" s="9" t="n">
        <v>5</v>
      </c>
      <c r="H9" s="9" t="n">
        <v>11</v>
      </c>
      <c r="I9" s="9" t="n">
        <v>8</v>
      </c>
      <c r="J9">
        <f>B9+D9+F9+H9</f>
        <v/>
      </c>
      <c r="K9">
        <f>C9+E9+G9+I9</f>
        <v/>
      </c>
      <c r="L9">
        <f>J9-K9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35" customWidth="1" min="5" max="5"/>
    <col width="15" customWidth="1" min="6" max="6"/>
    <col width="20" customWidth="1" min="7" max="7"/>
    <col width="35" customWidth="1" min="8" max="8"/>
    <col width="15" customWidth="1" min="9" max="9"/>
    <col width="15" customWidth="1" min="10" max="10"/>
  </cols>
  <sheetData>
    <row r="1" ht="30" customHeight="1">
      <c r="A1" s="1" t="inlineStr">
        <is>
          <t>Security Technical Debt (Accepted Risks)</t>
        </is>
      </c>
    </row>
    <row r="2">
      <c r="A2" s="2" t="inlineStr">
        <is>
          <t>Track vulnerabilities accepted as risk with mitigating controls</t>
        </is>
      </c>
    </row>
    <row r="3">
      <c r="A3" s="6" t="inlineStr">
        <is>
          <t>Vulnerability ID</t>
        </is>
      </c>
      <c r="B3" s="6" t="inlineStr">
        <is>
          <t>Application Name</t>
        </is>
      </c>
      <c r="C3" s="6" t="inlineStr">
        <is>
          <t>Vulnerability Type</t>
        </is>
      </c>
      <c r="D3" s="6" t="inlineStr">
        <is>
          <t>Severity</t>
        </is>
      </c>
      <c r="E3" s="6" t="inlineStr">
        <is>
          <t>Risk Acceptance Rationale</t>
        </is>
      </c>
      <c r="F3" s="6" t="inlineStr">
        <is>
          <t>Accepted Date</t>
        </is>
      </c>
      <c r="G3" s="6" t="inlineStr">
        <is>
          <t>Accepted By</t>
        </is>
      </c>
      <c r="H3" s="6" t="inlineStr">
        <is>
          <t>Mitigating Controls</t>
        </is>
      </c>
      <c r="I3" s="6" t="inlineStr">
        <is>
          <t>Review Date</t>
        </is>
      </c>
      <c r="J3" s="6" t="inlineStr">
        <is>
          <t>Status</t>
        </is>
      </c>
    </row>
    <row r="4">
      <c r="A4" s="9" t="inlineStr">
        <is>
          <t>VULN-2024-087</t>
        </is>
      </c>
      <c r="B4" s="9" t="inlineStr">
        <is>
          <t>Legacy App</t>
        </is>
      </c>
      <c r="C4" s="9" t="inlineStr">
        <is>
          <t>Outdated Framework</t>
        </is>
      </c>
      <c r="D4" s="9" t="inlineStr">
        <is>
          <t>Medium</t>
        </is>
      </c>
      <c r="E4" s="9" t="inlineStr">
        <is>
          <t>Decommissioning in 6 months</t>
        </is>
      </c>
      <c r="F4" s="9" t="inlineStr">
        <is>
          <t>2024-09-15</t>
        </is>
      </c>
      <c r="G4" s="9" t="inlineStr">
        <is>
          <t>CISO</t>
        </is>
      </c>
      <c r="H4" s="9" t="inlineStr">
        <is>
          <t>WAF rules block known exploits</t>
        </is>
      </c>
      <c r="I4" s="9" t="inlineStr">
        <is>
          <t>2025-03-15</t>
        </is>
      </c>
      <c r="J4" s="9" t="inlineStr">
        <is>
          <t>Active</t>
        </is>
      </c>
    </row>
    <row r="5">
      <c r="A5" s="9" t="inlineStr">
        <is>
          <t>VULN-2024-102</t>
        </is>
      </c>
      <c r="B5" s="9" t="inlineStr">
        <is>
          <t>Internal Tool</t>
        </is>
      </c>
      <c r="C5" s="9" t="inlineStr">
        <is>
          <t>Missing Security Headers</t>
        </is>
      </c>
      <c r="D5" s="9" t="inlineStr">
        <is>
          <t>Low</t>
        </is>
      </c>
      <c r="E5" s="9" t="inlineStr">
        <is>
          <t>Internal-only application</t>
        </is>
      </c>
      <c r="F5" s="9" t="inlineStr">
        <is>
          <t>2024-11-10</t>
        </is>
      </c>
      <c r="G5" s="9" t="inlineStr">
        <is>
          <t>Security Architect</t>
        </is>
      </c>
      <c r="H5" s="9" t="inlineStr">
        <is>
          <t>Network segmentation</t>
        </is>
      </c>
      <c r="I5" s="9" t="inlineStr">
        <is>
          <t>2025-05-10</t>
        </is>
      </c>
      <c r="J5" s="9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Vulnerability Remediation Compliance Dashboard</t>
        </is>
      </c>
    </row>
    <row r="2">
      <c r="A2" s="2" t="inlineStr">
        <is>
          <t>Overall vulnerability remediation performance and compliance</t>
        </is>
      </c>
    </row>
    <row r="4">
      <c r="A4" s="2" t="inlineStr">
        <is>
          <t>Portfolio Vulnerability Statistics</t>
        </is>
      </c>
    </row>
    <row r="5">
      <c r="A5" s="3" t="inlineStr">
        <is>
          <t>Total Open Vulnerabilities:</t>
        </is>
      </c>
      <c r="B5" s="4" t="inlineStr">
        <is>
          <t>[Calculated from data]</t>
        </is>
      </c>
    </row>
    <row r="6">
      <c r="A6" s="3" t="inlineStr">
        <is>
          <t>Critical Vulnerabilities:</t>
        </is>
      </c>
      <c r="B6" s="4" t="inlineStr">
        <is>
          <t>[Calculated from data]</t>
        </is>
      </c>
    </row>
    <row r="7">
      <c r="A7" s="3" t="inlineStr">
        <is>
          <t>High Vulnerabilities:</t>
        </is>
      </c>
      <c r="B7" s="4" t="inlineStr">
        <is>
          <t>[Calculated from data]</t>
        </is>
      </c>
    </row>
    <row r="8">
      <c r="A8" s="3" t="inlineStr">
        <is>
          <t>Overdue Vulnerabilities:</t>
        </is>
      </c>
      <c r="B8" s="4" t="inlineStr">
        <is>
          <t>[Calculated from data]</t>
        </is>
      </c>
    </row>
    <row r="9">
      <c r="A9" s="3" t="inlineStr">
        <is>
          <t>Average Remediation Time:</t>
        </is>
      </c>
      <c r="B9" s="4" t="inlineStr">
        <is>
          <t>[Calculated from data]</t>
        </is>
      </c>
    </row>
    <row r="10">
      <c r="A10" s="3" t="inlineStr">
        <is>
          <t>Overall SLA Compliance Rate:</t>
        </is>
      </c>
      <c r="B10" s="4" t="inlineStr">
        <is>
          <t>[Calculated from data]</t>
        </is>
      </c>
    </row>
    <row r="11">
      <c r="A11" s="3" t="inlineStr">
        <is>
          <t>Accepted Security Risks:</t>
        </is>
      </c>
      <c r="B11" s="4" t="inlineStr">
        <is>
          <t>[Calculated from data]</t>
        </is>
      </c>
    </row>
    <row r="13">
      <c r="A13" s="2" t="inlineStr">
        <is>
          <t>SLA Compliance by Severity</t>
        </is>
      </c>
    </row>
    <row r="14">
      <c r="A14" s="6" t="inlineStr">
        <is>
          <t>Severity</t>
        </is>
      </c>
      <c r="B14" s="6" t="inlineStr">
        <is>
          <t>SLA (days)</t>
        </is>
      </c>
      <c r="C14" s="6" t="inlineStr">
        <is>
          <t>Open Count</t>
        </is>
      </c>
      <c r="D14" s="6" t="inlineStr">
        <is>
          <t>Overdue Count</t>
        </is>
      </c>
      <c r="E14" s="6" t="inlineStr">
        <is>
          <t>Compliance Rate (%)</t>
        </is>
      </c>
      <c r="F14" s="6" t="inlineStr">
        <is>
          <t>Compliance Status</t>
        </is>
      </c>
    </row>
    <row r="15">
      <c r="A15" t="inlineStr">
        <is>
          <t>Critical</t>
        </is>
      </c>
      <c r="B15">
        <f>Remediation_SLA_Compliance!B4</f>
        <v/>
      </c>
      <c r="C15">
        <f>Remediation_SLA_Compliance!C4</f>
        <v/>
      </c>
      <c r="D15">
        <f>Remediation_SLA_Compliance!E4</f>
        <v/>
      </c>
      <c r="E15" s="12">
        <f>Remediation_SLA_Compliance!G4</f>
        <v/>
      </c>
      <c r="F15">
        <f>IF(E15&gt;=90,"✅ Compliant",IF(E15&gt;=70,"⚠️ At Risk","❌ Non-Compliant"))</f>
        <v/>
      </c>
    </row>
    <row r="16">
      <c r="A16" t="inlineStr">
        <is>
          <t>High</t>
        </is>
      </c>
      <c r="B16">
        <f>Remediation_SLA_Compliance!B5</f>
        <v/>
      </c>
      <c r="C16">
        <f>Remediation_SLA_Compliance!C5</f>
        <v/>
      </c>
      <c r="D16">
        <f>Remediation_SLA_Compliance!E5</f>
        <v/>
      </c>
      <c r="E16" s="12">
        <f>Remediation_SLA_Compliance!G5</f>
        <v/>
      </c>
      <c r="F16">
        <f>IF(E16&gt;=90,"✅ Compliant",IF(E16&gt;=70,"⚠️ At Risk","❌ Non-Compliant"))</f>
        <v/>
      </c>
    </row>
    <row r="17">
      <c r="A17" t="inlineStr">
        <is>
          <t>Medium</t>
        </is>
      </c>
      <c r="B17">
        <f>Remediation_SLA_Compliance!B6</f>
        <v/>
      </c>
      <c r="C17">
        <f>Remediation_SLA_Compliance!C6</f>
        <v/>
      </c>
      <c r="D17">
        <f>Remediation_SLA_Compliance!E6</f>
        <v/>
      </c>
      <c r="E17" s="12">
        <f>Remediation_SLA_Compliance!G6</f>
        <v/>
      </c>
      <c r="F17">
        <f>IF(E17&gt;=90,"✅ Compliant",IF(E17&gt;=70,"⚠️ At Risk","❌ Non-Compliant"))</f>
        <v/>
      </c>
    </row>
    <row r="18">
      <c r="A18" t="inlineStr">
        <is>
          <t>Low</t>
        </is>
      </c>
      <c r="B18">
        <f>Remediation_SLA_Compliance!B7</f>
        <v/>
      </c>
      <c r="C18">
        <f>Remediation_SLA_Compliance!C7</f>
        <v/>
      </c>
      <c r="D18">
        <f>Remediation_SLA_Compliance!E7</f>
        <v/>
      </c>
      <c r="E18" s="12">
        <f>Remediation_SLA_Compliance!G7</f>
        <v/>
      </c>
      <c r="F18" t="inlineStr">
        <is>
          <t>N/A</t>
        </is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vulnerability remediation evidence</t>
        </is>
      </c>
    </row>
    <row r="3">
      <c r="A3" s="6" t="inlineStr">
        <is>
          <t>Evidence Type</t>
        </is>
      </c>
      <c r="B3" s="6" t="inlineStr">
        <is>
          <t>Vulnerability ID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9" t="inlineStr">
        <is>
          <t>Remediation Ticket</t>
        </is>
      </c>
      <c r="B4" s="9" t="inlineStr">
        <is>
          <t>VULN-2025-001</t>
        </is>
      </c>
      <c r="C4" s="9" t="inlineStr">
        <is>
          <t>Jira Ticket PROJ-1234</t>
        </is>
      </c>
      <c r="D4" s="9" t="inlineStr">
        <is>
          <t>https://jira.example.com/browse/PROJ-1234</t>
        </is>
      </c>
      <c r="E4" s="9" t="inlineStr">
        <is>
          <t>2025-01-10</t>
        </is>
      </c>
      <c r="F4" s="9" t="inlineStr">
        <is>
          <t>Dev Team A</t>
        </is>
      </c>
      <c r="G4" s="9" t="inlineStr">
        <is>
          <t>Current</t>
        </is>
      </c>
    </row>
    <row r="5">
      <c r="A5" s="9" t="inlineStr">
        <is>
          <t>Fix Validation</t>
        </is>
      </c>
      <c r="B5" s="9" t="inlineStr">
        <is>
          <t>VULN-2025-003</t>
        </is>
      </c>
      <c r="C5" s="9" t="inlineStr">
        <is>
          <t>Re-scan Report (Snyk)</t>
        </is>
      </c>
      <c r="D5" s="9" t="inlineStr">
        <is>
          <t>/reports/vuln/VULN-2025-003-retest.pdf</t>
        </is>
      </c>
      <c r="E5" s="9" t="inlineStr">
        <is>
          <t>2025-01-09</t>
        </is>
      </c>
      <c r="F5" s="9" t="inlineStr">
        <is>
          <t>Security Team</t>
        </is>
      </c>
      <c r="G5" s="9" t="inlineStr">
        <is>
          <t>Current</t>
        </is>
      </c>
    </row>
    <row r="6">
      <c r="A6" s="9" t="inlineStr">
        <is>
          <t>Risk Acceptance</t>
        </is>
      </c>
      <c r="B6" s="9" t="inlineStr">
        <is>
          <t>VULN-2024-087</t>
        </is>
      </c>
      <c r="C6" s="9" t="inlineStr">
        <is>
          <t>Risk Acceptance Form</t>
        </is>
      </c>
      <c r="D6" s="9" t="inlineStr">
        <is>
          <t>/risk-acceptance/VULN-2024-087.pdf</t>
        </is>
      </c>
      <c r="E6" s="9" t="inlineStr">
        <is>
          <t>2024-09-15</t>
        </is>
      </c>
      <c r="F6" s="9" t="inlineStr">
        <is>
          <t>CISO</t>
        </is>
      </c>
      <c r="G6" s="9" t="inlineStr">
        <is>
          <t>Current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Monthly 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Month:</t>
        </is>
      </c>
      <c r="B7" t="inlineStr">
        <is>
          <t>[USER INPUT - e.g., January 2025]</t>
        </is>
      </c>
    </row>
    <row r="8">
      <c r="A8" s="3" t="inlineStr">
        <is>
          <t>Total Open Vulnerabilities: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Team Lead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Development Manager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CISO / Security Leadership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8">
      <c r="A18" s="2" t="inlineStr">
        <is>
          <t>Overall Remediation Compliance</t>
        </is>
      </c>
    </row>
    <row r="19">
      <c r="A19" s="3" t="inlineStr">
        <is>
          <t>SLA Compliance Status:</t>
        </is>
      </c>
      <c r="B19" s="4" t="inlineStr">
        <is>
          <t>[✅ Compliant / ⚠️ At Risk / ❌ Non-Compliant]</t>
        </is>
      </c>
    </row>
    <row r="20">
      <c r="A20" s="3" t="inlineStr">
        <is>
          <t>Overall SLA Compliance Rate:</t>
        </is>
      </c>
      <c r="B20" s="4" t="inlineStr">
        <is>
          <t>[X%]</t>
        </is>
      </c>
    </row>
  </sheetData>
  <mergeCells count="4">
    <mergeCell ref="A11:E11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2026-01-31T02:18:34Z</dcterms:created>
  <dcterms:modified xmlns:dcterms="http://purl.org/dc/terms/" xmlns:xsi="http://www.w3.org/2001/XMLSchema-instance" xsi:type="dcterms:W3CDTF">2026-01-31T02:18:34Z</dcterms:modified>
</cp:coreProperties>
</file>