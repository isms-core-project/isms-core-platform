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Application_Inventory" sheetId="2" state="visible" r:id="rId2"/>
    <sheet xmlns:r="http://schemas.openxmlformats.org/officeDocument/2006/relationships" name="Requirements_Documentation_Status" sheetId="3" state="visible" r:id="rId3"/>
    <sheet xmlns:r="http://schemas.openxmlformats.org/officeDocument/2006/relationships" name="Threat_Modeling_Status" sheetId="4" state="visible" r:id="rId4"/>
    <sheet xmlns:r="http://schemas.openxmlformats.org/officeDocument/2006/relationships" name="Architecture_Review_Status" sheetId="5" state="visible" r:id="rId5"/>
    <sheet xmlns:r="http://schemas.openxmlformats.org/officeDocument/2006/relationships" name="Traceability_Matrix_Status" sheetId="6" state="visible" r:id="rId6"/>
    <sheet xmlns:r="http://schemas.openxmlformats.org/officeDocument/2006/relationships" name="Compliance_Summary" sheetId="7" state="visible" r:id="rId7"/>
    <sheet xmlns:r="http://schemas.openxmlformats.org/officeDocument/2006/relationships" name="Evidence_Register" sheetId="8" state="visible" r:id="rId8"/>
    <sheet xmlns:r="http://schemas.openxmlformats.org/officeDocument/2006/relationships" name="Approval_Sign_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0.0&quot;%&quot;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165" fontId="0" fillId="0" borderId="0" pivotButton="0" quotePrefix="0" xfId="0"/>
    <xf numFmtId="164" fontId="0" fillId="0" borderId="0" pivotButton="0" quotePrefix="0" xfId="0"/>
    <xf numFmtId="0" fontId="0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 ht="40" customHeight="1">
      <c r="A1" s="1" t="inlineStr">
        <is>
          <t>ISMS-IMP-A.8.25-26-29.1
ISO/IEC 27001:2022 - Controls A.8.25, A.8.26, A.8.29: Secure Development</t>
        </is>
      </c>
    </row>
    <row r="2">
      <c r="A2" s="2" t="inlineStr">
        <is>
          <t>ISO/IEC 27001:2022 - Control A.8.26: Application Security Requirements</t>
        </is>
      </c>
    </row>
    <row r="4">
      <c r="A4" s="3" t="inlineStr">
        <is>
          <t>Document ID:</t>
        </is>
      </c>
      <c r="B4" t="inlineStr">
        <is>
          <t>ISMS-IMP-A.8.25-26-29.1</t>
        </is>
      </c>
    </row>
    <row r="5">
      <c r="A5" s="3" t="inlineStr">
        <is>
          <t>Assessment Area:</t>
        </is>
      </c>
      <c r="B5" t="inlineStr">
        <is>
          <t>Application Security Requirements</t>
        </is>
      </c>
    </row>
    <row r="6">
      <c r="A6" s="3" t="inlineStr">
        <is>
          <t>Related Policy:</t>
        </is>
      </c>
      <c r="B6" t="inlineStr">
        <is>
          <t>ISMS-POL-A.8.25-26-29-S2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Assessment Date:</t>
        </is>
      </c>
      <c r="B8" s="4" t="inlineStr">
        <is>
          <t>[USER INPUT]</t>
        </is>
      </c>
    </row>
    <row r="9">
      <c r="A9" s="3" t="inlineStr">
        <is>
          <t>Completed By:</t>
        </is>
      </c>
      <c r="B9" s="4" t="inlineStr">
        <is>
          <t>[USER INPUT]</t>
        </is>
      </c>
    </row>
    <row r="10">
      <c r="A10" s="3" t="inlineStr">
        <is>
          <t>Organization:</t>
        </is>
      </c>
      <c r="B10" s="4" t="inlineStr">
        <is>
          <t>[USER INPUT]</t>
        </is>
      </c>
    </row>
    <row r="11">
      <c r="A11" s="3" t="inlineStr">
        <is>
          <t>Review Cycle:</t>
        </is>
      </c>
      <c r="B11" t="inlineStr">
        <is>
          <t>Quarterly</t>
        </is>
      </c>
    </row>
    <row r="13">
      <c r="A13" s="2" t="inlineStr">
        <is>
          <t>How to Use This Workbook</t>
        </is>
      </c>
    </row>
    <row r="14" ht="20" customHeight="1">
      <c r="A14" s="5" t="inlineStr">
        <is>
          <t>1. Complete the Application_Inventory sheet with all applications in your portfolio</t>
        </is>
      </c>
    </row>
    <row r="15" ht="20" customHeight="1">
      <c r="A15" s="5" t="inlineStr">
        <is>
          <t>2. For each application, complete the Requirements_Documentation_Status sheet</t>
        </is>
      </c>
    </row>
    <row r="16" ht="20" customHeight="1">
      <c r="A16" s="5" t="inlineStr">
        <is>
          <t>3. For each application, complete the Threat_Modeling_Status sheet</t>
        </is>
      </c>
    </row>
    <row r="17" ht="20" customHeight="1">
      <c r="A17" s="5" t="inlineStr">
        <is>
          <t>4. For each application, complete the Architecture_Review_Status sheet</t>
        </is>
      </c>
    </row>
    <row r="18" ht="20" customHeight="1">
      <c r="A18" s="5" t="inlineStr">
        <is>
          <t>5. For each application, complete the Traceability_Matrix_Status sheet</t>
        </is>
      </c>
    </row>
    <row r="19" ht="20" customHeight="1">
      <c r="A19" s="5" t="inlineStr">
        <is>
          <t>6. Review the Compliance_Summary sheet for overall compliance scores</t>
        </is>
      </c>
    </row>
    <row r="20" ht="20" customHeight="1">
      <c r="A20" s="5" t="inlineStr">
        <is>
          <t>7. Document evidence in the Evidence_Register sheet</t>
        </is>
      </c>
    </row>
    <row r="21" ht="20" customHeight="1">
      <c r="A21" s="5" t="inlineStr">
        <is>
          <t>8. Obtain approval and sign-off in the Approval_Sign_Off sheet</t>
        </is>
      </c>
    </row>
    <row r="23">
      <c r="A23" s="2" t="inlineStr">
        <is>
          <t>Status Legend</t>
        </is>
      </c>
    </row>
    <row r="24">
      <c r="A24" s="6" t="inlineStr">
        <is>
          <t>Symbol</t>
        </is>
      </c>
      <c r="B24" s="6" t="inlineStr">
        <is>
          <t>Status</t>
        </is>
      </c>
      <c r="C24" s="6" t="inlineStr">
        <is>
          <t>Description</t>
        </is>
      </c>
      <c r="D24" s="6" t="inlineStr">
        <is>
          <t>Color Code</t>
        </is>
      </c>
    </row>
    <row r="25">
      <c r="A25" t="inlineStr">
        <is>
          <t>✅</t>
        </is>
      </c>
      <c r="B25" t="inlineStr">
        <is>
          <t>Compliant</t>
        </is>
      </c>
      <c r="C25" t="inlineStr">
        <is>
          <t>Requirement met, fully implemented</t>
        </is>
      </c>
      <c r="D25" s="7" t="inlineStr">
        <is>
          <t>Green</t>
        </is>
      </c>
    </row>
    <row r="26">
      <c r="A26" t="inlineStr">
        <is>
          <t>⚠️</t>
        </is>
      </c>
      <c r="B26" t="inlineStr">
        <is>
          <t>Partial</t>
        </is>
      </c>
      <c r="C26" t="inlineStr">
        <is>
          <t>Partially implemented, needs improvement</t>
        </is>
      </c>
      <c r="D26" s="8" t="inlineStr">
        <is>
          <t>Yellow</t>
        </is>
      </c>
    </row>
    <row r="27">
      <c r="A27" t="inlineStr">
        <is>
          <t>❌</t>
        </is>
      </c>
      <c r="B27" t="inlineStr">
        <is>
          <t>Non-Compliant</t>
        </is>
      </c>
      <c r="C27" t="inlineStr">
        <is>
          <t>Not implemented, not meeting requirement</t>
        </is>
      </c>
      <c r="D27" s="9" t="inlineStr">
        <is>
          <t>Red</t>
        </is>
      </c>
    </row>
    <row r="28">
      <c r="A28" t="inlineStr">
        <is>
          <t>⏳</t>
        </is>
      </c>
      <c r="B28" t="inlineStr">
        <is>
          <t>Pending</t>
        </is>
      </c>
      <c r="C28" t="inlineStr">
        <is>
          <t>In progress, under review</t>
        </is>
      </c>
      <c r="D28" s="10" t="inlineStr">
        <is>
          <t>Blue</t>
        </is>
      </c>
    </row>
    <row r="29">
      <c r="A29" t="inlineStr">
        <is>
          <t>N/A</t>
        </is>
      </c>
      <c r="B29" t="inlineStr">
        <is>
          <t>Not Applicable</t>
        </is>
      </c>
      <c r="C29" t="inlineStr">
        <is>
          <t>Not applicable to this application</t>
        </is>
      </c>
      <c r="D29" t="inlineStr">
        <is>
          <t>Gray</t>
        </is>
      </c>
    </row>
    <row r="31">
      <c r="A31" s="2" t="inlineStr">
        <is>
          <t>Acceptable Evidence (Examples)</t>
        </is>
      </c>
    </row>
    <row r="32">
      <c r="A32" s="5" t="inlineStr">
        <is>
          <t>✓ Security Requirements Documents (SEC-REQ-XXX format)</t>
        </is>
      </c>
    </row>
    <row r="33">
      <c r="A33" s="5" t="inlineStr">
        <is>
          <t>✓ Threat Models (STRIDE, PASTA, LINDDUN methodologies)</t>
        </is>
      </c>
    </row>
    <row r="34">
      <c r="A34" s="5" t="inlineStr">
        <is>
          <t>✓ Architecture Review Reports (with findings and approvals)</t>
        </is>
      </c>
    </row>
    <row r="35">
      <c r="A35" s="5" t="inlineStr">
        <is>
          <t>✓ Requirements Traceability Matrices (linking requirements to design, code, tests)</t>
        </is>
      </c>
    </row>
    <row r="36">
      <c r="A36" s="5" t="inlineStr">
        <is>
          <t>✓ Security Approval Sign-offs (from Security Architects, Product Owners)</t>
        </is>
      </c>
    </row>
    <row r="37">
      <c r="A37" s="5" t="inlineStr">
        <is>
          <t>✓ Application Risk Classification Documentation</t>
        </is>
      </c>
    </row>
    <row r="38">
      <c r="A38" s="5" t="inlineStr">
        <is>
          <t>✓ Security Requirements Workshop Materials (agendas, attendees, outputs)</t>
        </is>
      </c>
    </row>
    <row r="39">
      <c r="A39" s="5" t="inlineStr">
        <is>
          <t>✓ Threat Modeling Workshop Materials (DFDs, threat lists, mitigations)</t>
        </is>
      </c>
    </row>
  </sheetData>
  <mergeCells count="5">
    <mergeCell ref="A2:F2"/>
    <mergeCell ref="A13:F13"/>
    <mergeCell ref="A1:F1"/>
    <mergeCell ref="A23:F23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18" customWidth="1" min="4" max="4"/>
    <col width="18" customWidth="1" min="5" max="5"/>
    <col width="22" customWidth="1" min="6" max="6"/>
    <col width="18" customWidth="1" min="7" max="7"/>
    <col width="20" customWidth="1" min="8" max="8"/>
    <col width="15" customWidth="1" min="9" max="9"/>
    <col width="18" customWidth="1" min="10" max="10"/>
  </cols>
  <sheetData>
    <row r="1" ht="30" customHeight="1">
      <c r="A1" s="1" t="inlineStr">
        <is>
          <t>Application Inventory</t>
        </is>
      </c>
    </row>
    <row r="2">
      <c r="A2" s="2" t="inlineStr">
        <is>
          <t>Complete inventory of all applications requiring security requirements assessment</t>
        </is>
      </c>
    </row>
    <row r="3">
      <c r="A3" s="6" t="inlineStr">
        <is>
          <t>Application Name</t>
        </is>
      </c>
      <c r="B3" s="6" t="inlineStr">
        <is>
          <t>Application ID</t>
        </is>
      </c>
      <c r="C3" s="6" t="inlineStr">
        <is>
          <t>Application Owner</t>
        </is>
      </c>
      <c r="D3" s="6" t="inlineStr">
        <is>
          <t>Business Criticality</t>
        </is>
      </c>
      <c r="E3" s="6" t="inlineStr">
        <is>
          <t>Risk Classification</t>
        </is>
      </c>
      <c r="F3" s="6" t="inlineStr">
        <is>
          <t>Technology Stack</t>
        </is>
      </c>
      <c r="G3" s="6" t="inlineStr">
        <is>
          <t>Deployment Model</t>
        </is>
      </c>
      <c r="H3" s="6" t="inlineStr">
        <is>
          <t>Regulatory Scope</t>
        </is>
      </c>
      <c r="I3" s="6" t="inlineStr">
        <is>
          <t>Internet Facing</t>
        </is>
      </c>
      <c r="J3" s="6" t="inlineStr">
        <is>
          <t>Last Assessment Date</t>
        </is>
      </c>
    </row>
    <row r="4">
      <c r="A4" s="11" t="inlineStr">
        <is>
          <t>Customer Portal</t>
        </is>
      </c>
      <c r="B4" s="11" t="inlineStr">
        <is>
          <t>APP-001</t>
        </is>
      </c>
      <c r="C4" s="11" t="inlineStr">
        <is>
          <t>Jane Doe</t>
        </is>
      </c>
      <c r="D4" s="11" t="inlineStr">
        <is>
          <t>High</t>
        </is>
      </c>
      <c r="E4" s="11" t="inlineStr">
        <is>
          <t>High Risk</t>
        </is>
      </c>
      <c r="F4" s="11" t="inlineStr">
        <is>
          <t>Java/Spring Boot</t>
        </is>
      </c>
      <c r="G4" s="11" t="inlineStr">
        <is>
          <t>AWS Cloud</t>
        </is>
      </c>
      <c r="H4" s="11" t="inlineStr">
        <is>
          <t>GDPR, PCI DSS</t>
        </is>
      </c>
      <c r="I4" s="11" t="inlineStr">
        <is>
          <t>Yes</t>
        </is>
      </c>
      <c r="J4" s="11" t="inlineStr">
        <is>
          <t>2025-01-15</t>
        </is>
      </c>
    </row>
    <row r="5">
      <c r="A5" s="11" t="inlineStr">
        <is>
          <t>Internal HR System</t>
        </is>
      </c>
      <c r="B5" s="11" t="inlineStr">
        <is>
          <t>APP-002</t>
        </is>
      </c>
      <c r="C5" s="11" t="inlineStr">
        <is>
          <t>John Smith</t>
        </is>
      </c>
      <c r="D5" s="11" t="inlineStr">
        <is>
          <t>Medium</t>
        </is>
      </c>
      <c r="E5" s="11" t="inlineStr">
        <is>
          <t>Medium Risk</t>
        </is>
      </c>
      <c r="F5" s="11" t="inlineStr">
        <is>
          <t>Python/Django</t>
        </is>
      </c>
      <c r="G5" s="11" t="inlineStr">
        <is>
          <t>On-Premises</t>
        </is>
      </c>
      <c r="H5" s="11" t="inlineStr">
        <is>
          <t>GDPR</t>
        </is>
      </c>
      <c r="I5" s="11" t="inlineStr">
        <is>
          <t>No</t>
        </is>
      </c>
      <c r="J5" s="11" t="inlineStr">
        <is>
          <t>2024-12-10</t>
        </is>
      </c>
    </row>
    <row r="6">
      <c r="A6" s="11" t="inlineStr">
        <is>
          <t>Marketing Website</t>
        </is>
      </c>
      <c r="B6" s="11" t="inlineStr">
        <is>
          <t>APP-003</t>
        </is>
      </c>
      <c r="C6" s="11" t="inlineStr">
        <is>
          <t>Alice Johnson</t>
        </is>
      </c>
      <c r="D6" s="11" t="inlineStr">
        <is>
          <t>Medium</t>
        </is>
      </c>
      <c r="E6" s="11" t="inlineStr">
        <is>
          <t>Medium Risk</t>
        </is>
      </c>
      <c r="F6" s="11" t="inlineStr">
        <is>
          <t>Static HTML/CSS</t>
        </is>
      </c>
      <c r="G6" s="11" t="inlineStr">
        <is>
          <t>CDN (Cloudflare)</t>
        </is>
      </c>
      <c r="H6" s="11" t="inlineStr">
        <is>
          <t>None</t>
        </is>
      </c>
      <c r="I6" s="11" t="inlineStr">
        <is>
          <t>Yes</t>
        </is>
      </c>
      <c r="J6" s="11" t="inlineStr">
        <is>
          <t>2025-01-05</t>
        </is>
      </c>
    </row>
    <row r="7">
      <c r="A7" s="11" t="inlineStr">
        <is>
          <t>Employee Portal</t>
        </is>
      </c>
      <c r="B7" s="11" t="inlineStr">
        <is>
          <t>APP-004</t>
        </is>
      </c>
      <c r="C7" s="11" t="inlineStr">
        <is>
          <t>Bob Williams</t>
        </is>
      </c>
      <c r="D7" s="11" t="inlineStr">
        <is>
          <t>Medium</t>
        </is>
      </c>
      <c r="E7" s="11" t="inlineStr">
        <is>
          <t>Medium Risk</t>
        </is>
      </c>
      <c r="F7" s="11" t="inlineStr">
        <is>
          <t>ASP.NET Core</t>
        </is>
      </c>
      <c r="G7" s="11" t="inlineStr">
        <is>
          <t>Azure Cloud</t>
        </is>
      </c>
      <c r="H7" s="11" t="inlineStr">
        <is>
          <t>GDPR</t>
        </is>
      </c>
      <c r="I7" s="11" t="inlineStr">
        <is>
          <t>No</t>
        </is>
      </c>
      <c r="J7" s="11" t="inlineStr">
        <is>
          <t>2024-11-22</t>
        </is>
      </c>
    </row>
    <row r="8">
      <c r="A8" s="11" t="inlineStr">
        <is>
          <t>Finance Dashboard</t>
        </is>
      </c>
      <c r="B8" s="11" t="inlineStr">
        <is>
          <t>APP-005</t>
        </is>
      </c>
      <c r="C8" s="11" t="inlineStr">
        <is>
          <t>Carol Davis</t>
        </is>
      </c>
      <c r="D8" s="11" t="inlineStr">
        <is>
          <t>High</t>
        </is>
      </c>
      <c r="E8" s="11" t="inlineStr">
        <is>
          <t>High Risk</t>
        </is>
      </c>
      <c r="F8" s="11" t="inlineStr">
        <is>
          <t>React + Node.js</t>
        </is>
      </c>
      <c r="G8" s="11" t="inlineStr">
        <is>
          <t>AWS Cloud</t>
        </is>
      </c>
      <c r="H8" s="11" t="inlineStr">
        <is>
          <t>SOX, GDPR</t>
        </is>
      </c>
      <c r="I8" s="11" t="inlineStr">
        <is>
          <t>No</t>
        </is>
      </c>
      <c r="J8" s="11" t="inlineStr">
        <is>
          <t>2025-01-08</t>
        </is>
      </c>
    </row>
  </sheetData>
  <mergeCells count="2">
    <mergeCell ref="A1:J1"/>
    <mergeCell ref="A2:J2"/>
  </mergeCells>
  <dataValidations count="8">
    <dataValidation sqref="B4:B100 E4:E100 F4:F100 G4:G100 H4:H100 I4:I100" showDropDown="0" showInputMessage="0" showErrorMessage="0" allowBlank="0" type="list">
      <formula1>"Yes,No"</formula1>
    </dataValidation>
    <dataValidation sqref="E4:E100 F4:F100 G4:G100" showDropDown="0" showInputMessage="0" showErrorMessage="0" allowBlank="0" type="list">
      <formula1>"Yes,No,Partial"</formula1>
    </dataValidation>
    <dataValidation sqref="B4:B100" showDropDown="0" showInputMessage="0" showErrorMessage="0" allowBlank="0" type="list">
      <formula1>"Yes,No,Planned"</formula1>
    </dataValidation>
    <dataValidation sqref="B4:B100" showDropDown="0" showInputMessage="0" showErrorMessage="0" allowBlank="0" type="list">
      <formula1>"Yes,No,Scheduled"</formula1>
    </dataValidation>
    <dataValidation sqref="E4:E100" showDropDown="0" showInputMessage="0" showErrorMessage="0" allowBlank="0" type="list">
      <formula1>"High Risk,Medium Risk,Low Risk"</formula1>
    </dataValidation>
    <dataValidation sqref="I4:I100 K4:K100" showDropDown="0" showInputMessage="0" showErrorMessage="0" allowBlank="0" type="list">
      <formula1>"✅ Approved,⏳ Pending,❌ Not Approved"</formula1>
    </dataValidation>
    <dataValidation sqref="C4:C100" showDropDown="0" showInputMessage="0" showErrorMessage="0" allowBlank="0" type="list">
      <formula1>"STRIDE,PASTA,LINDDUN,Other,N/A"</formula1>
    </dataValidation>
    <dataValidation sqref="G4:G100" showDropDown="0" showInputMessage="0" showErrorMessage="0" allowBlank="0" type="list">
      <formula1>"Current,Outdated,Missing"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40" customWidth="1" min="3" max="3"/>
    <col width="15" customWidth="1" min="4" max="4"/>
    <col width="18" customWidth="1" min="5" max="5"/>
    <col width="20" customWidth="1" min="6" max="6"/>
    <col width="15" customWidth="1" min="7" max="7"/>
    <col width="20" customWidth="1" min="8" max="8"/>
    <col width="22" customWidth="1" min="9" max="9"/>
    <col width="22" customWidth="1" min="10" max="10"/>
    <col width="18" customWidth="1" min="11" max="11"/>
  </cols>
  <sheetData>
    <row r="1" ht="30" customHeight="1">
      <c r="A1" s="1" t="inlineStr">
        <is>
          <t>Security Requirements Documentation Assessment</t>
        </is>
      </c>
    </row>
    <row r="2">
      <c r="A2" s="2" t="inlineStr">
        <is>
          <t>Assess completeness of security requirements documentation per application</t>
        </is>
      </c>
    </row>
    <row r="3">
      <c r="A3" s="6" t="inlineStr">
        <is>
          <t>Application Name</t>
        </is>
      </c>
      <c r="B3" s="6" t="inlineStr">
        <is>
          <t>Requirements Document Exists?</t>
        </is>
      </c>
      <c r="C3" s="6" t="inlineStr">
        <is>
          <t>Document Location/Link</t>
        </is>
      </c>
      <c r="D3" s="6" t="inlineStr">
        <is>
          <t>Last Updated</t>
        </is>
      </c>
      <c r="E3" s="6" t="inlineStr">
        <is>
          <t>Requirements Approved?</t>
        </is>
      </c>
      <c r="F3" s="6" t="inlineStr">
        <is>
          <t>Approver Name</t>
        </is>
      </c>
      <c r="G3" s="6" t="inlineStr">
        <is>
          <t>Approval Date</t>
        </is>
      </c>
      <c r="H3" s="6" t="inlineStr">
        <is>
          <t>Functional Requirements (%)</t>
        </is>
      </c>
      <c r="I3" s="6" t="inlineStr">
        <is>
          <t>Non-Functional Requirements (%)</t>
        </is>
      </c>
      <c r="J3" s="6" t="inlineStr">
        <is>
          <t>Data Protection Requirements (%)</t>
        </is>
      </c>
      <c r="K3" s="6" t="inlineStr">
        <is>
          <t>Completeness Score (%)</t>
        </is>
      </c>
    </row>
    <row r="4">
      <c r="A4" s="11" t="inlineStr">
        <is>
          <t>Customer Portal</t>
        </is>
      </c>
      <c r="B4" s="11" t="inlineStr">
        <is>
          <t>Yes</t>
        </is>
      </c>
      <c r="C4" s="11" t="inlineStr">
        <is>
          <t>/docs/security-requirements/APP-001-sec-req.pdf</t>
        </is>
      </c>
      <c r="D4" s="11" t="inlineStr">
        <is>
          <t>2025-01-10</t>
        </is>
      </c>
      <c r="E4" s="11" t="inlineStr">
        <is>
          <t>Yes</t>
        </is>
      </c>
      <c r="F4" s="11" t="inlineStr">
        <is>
          <t>Jane Doe</t>
        </is>
      </c>
      <c r="G4" s="11" t="inlineStr">
        <is>
          <t>2025-01-12</t>
        </is>
      </c>
      <c r="H4" s="11" t="n">
        <v>95</v>
      </c>
      <c r="I4" s="11" t="n">
        <v>90</v>
      </c>
      <c r="J4" s="11" t="n">
        <v>100</v>
      </c>
    </row>
    <row r="5">
      <c r="A5" s="11" t="inlineStr">
        <is>
          <t>Internal HR System</t>
        </is>
      </c>
      <c r="B5" s="11" t="inlineStr">
        <is>
          <t>Yes</t>
        </is>
      </c>
      <c r="C5" s="11" t="inlineStr">
        <is>
          <t>/docs/security-requirements/APP-002-sec-req.pdf</t>
        </is>
      </c>
      <c r="D5" s="11" t="inlineStr">
        <is>
          <t>2024-11-20</t>
        </is>
      </c>
      <c r="E5" s="11" t="inlineStr">
        <is>
          <t>Yes</t>
        </is>
      </c>
      <c r="F5" s="11" t="inlineStr">
        <is>
          <t>John Smith</t>
        </is>
      </c>
      <c r="G5" s="11" t="inlineStr">
        <is>
          <t>2024-11-25</t>
        </is>
      </c>
      <c r="H5" s="11" t="n">
        <v>85</v>
      </c>
      <c r="I5" s="11" t="n">
        <v>80</v>
      </c>
      <c r="J5" s="11" t="n">
        <v>90</v>
      </c>
    </row>
    <row r="6">
      <c r="A6" s="11" t="inlineStr">
        <is>
          <t>Marketing Website</t>
        </is>
      </c>
      <c r="B6" s="11" t="inlineStr">
        <is>
          <t>Partial</t>
        </is>
      </c>
      <c r="C6" s="11" t="inlineStr">
        <is>
          <t>/docs/security-requirements/APP-003-baseline.pdf</t>
        </is>
      </c>
      <c r="D6" s="11" t="inlineStr">
        <is>
          <t>2024-12-15</t>
        </is>
      </c>
      <c r="E6" s="11" t="inlineStr">
        <is>
          <t>Yes</t>
        </is>
      </c>
      <c r="F6" s="11" t="inlineStr">
        <is>
          <t>Alice Johnson</t>
        </is>
      </c>
      <c r="G6" s="11" t="inlineStr">
        <is>
          <t>2024-12-18</t>
        </is>
      </c>
      <c r="H6" s="11" t="n">
        <v>60</v>
      </c>
      <c r="I6" s="11" t="n">
        <v>50</v>
      </c>
      <c r="J6" s="11" t="n">
        <v>70</v>
      </c>
    </row>
    <row r="7">
      <c r="A7" s="11" t="inlineStr">
        <is>
          <t>Employee Portal</t>
        </is>
      </c>
      <c r="B7" s="11" t="inlineStr">
        <is>
          <t>Yes</t>
        </is>
      </c>
      <c r="C7" s="11" t="inlineStr">
        <is>
          <t>/docs/security-requirements/APP-004-sec-req.pdf</t>
        </is>
      </c>
      <c r="D7" s="11" t="inlineStr">
        <is>
          <t>2024-11-15</t>
        </is>
      </c>
      <c r="E7" s="11" t="inlineStr">
        <is>
          <t>Yes</t>
        </is>
      </c>
      <c r="F7" s="11" t="inlineStr">
        <is>
          <t>Bob Williams</t>
        </is>
      </c>
      <c r="G7" s="11" t="inlineStr">
        <is>
          <t>2024-11-18</t>
        </is>
      </c>
      <c r="H7" s="11" t="n">
        <v>88</v>
      </c>
      <c r="I7" s="11" t="n">
        <v>85</v>
      </c>
      <c r="J7" s="11" t="n">
        <v>92</v>
      </c>
    </row>
    <row r="8">
      <c r="A8" s="11" t="inlineStr">
        <is>
          <t>Finance Dashboard</t>
        </is>
      </c>
      <c r="B8" s="11" t="inlineStr">
        <is>
          <t>Yes</t>
        </is>
      </c>
      <c r="C8" s="11" t="inlineStr">
        <is>
          <t>/docs/security-requirements/APP-005-sec-req.pdf</t>
        </is>
      </c>
      <c r="D8" s="11" t="inlineStr">
        <is>
          <t>2025-01-05</t>
        </is>
      </c>
      <c r="E8" s="11" t="inlineStr">
        <is>
          <t>Yes</t>
        </is>
      </c>
      <c r="F8" s="11" t="inlineStr">
        <is>
          <t>Carol Davis</t>
        </is>
      </c>
      <c r="G8" s="11" t="inlineStr">
        <is>
          <t>2025-01-07</t>
        </is>
      </c>
      <c r="H8" s="11" t="n">
        <v>92</v>
      </c>
      <c r="I8" s="11" t="n">
        <v>88</v>
      </c>
      <c r="J8" s="11" t="n">
        <v>95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40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0" customWidth="1" min="10" max="10"/>
    <col width="18" customWidth="1" min="11" max="11"/>
  </cols>
  <sheetData>
    <row r="1" ht="30" customHeight="1">
      <c r="A1" s="1" t="inlineStr">
        <is>
          <t>Threat Modeling Status Assessment</t>
        </is>
      </c>
    </row>
    <row r="2">
      <c r="A2" s="2" t="inlineStr">
        <is>
          <t>Assess threat modeling completion and quality per application</t>
        </is>
      </c>
    </row>
    <row r="3">
      <c r="A3" s="6" t="inlineStr">
        <is>
          <t>Application Name</t>
        </is>
      </c>
      <c r="B3" s="6" t="inlineStr">
        <is>
          <t>Threat Model Exists?</t>
        </is>
      </c>
      <c r="C3" s="6" t="inlineStr">
        <is>
          <t>Methodology Used</t>
        </is>
      </c>
      <c r="D3" s="6" t="inlineStr">
        <is>
          <t>Threat Model Location/Link</t>
        </is>
      </c>
      <c r="E3" s="6" t="inlineStr">
        <is>
          <t>Last Updated</t>
        </is>
      </c>
      <c r="F3" s="6" t="inlineStr">
        <is>
          <t>DFD Created?</t>
        </is>
      </c>
      <c r="G3" s="6" t="inlineStr">
        <is>
          <t>Threats Documented?</t>
        </is>
      </c>
      <c r="H3" s="6" t="inlineStr">
        <is>
          <t>Mitigations Defined?</t>
        </is>
      </c>
      <c r="I3" s="6" t="inlineStr">
        <is>
          <t>Approval Status</t>
        </is>
      </c>
      <c r="J3" s="6" t="inlineStr">
        <is>
          <t>Approver Name</t>
        </is>
      </c>
      <c r="K3" s="6" t="inlineStr">
        <is>
          <t>Completeness Score (%)</t>
        </is>
      </c>
    </row>
    <row r="4">
      <c r="A4" s="11" t="inlineStr">
        <is>
          <t>Customer Portal</t>
        </is>
      </c>
      <c r="B4" s="11" t="inlineStr">
        <is>
          <t>Yes</t>
        </is>
      </c>
      <c r="C4" s="11" t="inlineStr">
        <is>
          <t>STRIDE</t>
        </is>
      </c>
      <c r="D4" s="11" t="inlineStr">
        <is>
          <t>/docs/threat-models/APP-001-threat-model.pdf</t>
        </is>
      </c>
      <c r="E4" s="11" t="inlineStr">
        <is>
          <t>2025-01-08</t>
        </is>
      </c>
      <c r="F4" s="11" t="inlineStr">
        <is>
          <t>Yes</t>
        </is>
      </c>
      <c r="G4" s="11" t="inlineStr">
        <is>
          <t>Yes</t>
        </is>
      </c>
      <c r="H4" s="11" t="inlineStr">
        <is>
          <t>Yes</t>
        </is>
      </c>
      <c r="I4" s="11" t="inlineStr">
        <is>
          <t>✅ Approved</t>
        </is>
      </c>
      <c r="J4" s="11" t="inlineStr">
        <is>
          <t>Jane Doe</t>
        </is>
      </c>
    </row>
    <row r="5">
      <c r="A5" s="11" t="inlineStr">
        <is>
          <t>Internal HR System</t>
        </is>
      </c>
      <c r="B5" s="11" t="inlineStr">
        <is>
          <t>Yes</t>
        </is>
      </c>
      <c r="C5" s="11" t="inlineStr">
        <is>
          <t>STRIDE</t>
        </is>
      </c>
      <c r="D5" s="11" t="inlineStr">
        <is>
          <t>/docs/threat-models/APP-002-threat-model.pdf</t>
        </is>
      </c>
      <c r="E5" s="11" t="inlineStr">
        <is>
          <t>2024-11-18</t>
        </is>
      </c>
      <c r="F5" s="11" t="inlineStr">
        <is>
          <t>Yes</t>
        </is>
      </c>
      <c r="G5" s="11" t="inlineStr">
        <is>
          <t>Yes</t>
        </is>
      </c>
      <c r="H5" s="11" t="inlineStr">
        <is>
          <t>Yes</t>
        </is>
      </c>
      <c r="I5" s="11" t="inlineStr">
        <is>
          <t>✅ Approved</t>
        </is>
      </c>
      <c r="J5" s="11" t="inlineStr">
        <is>
          <t>John Smith</t>
        </is>
      </c>
    </row>
    <row r="6">
      <c r="A6" s="11" t="inlineStr">
        <is>
          <t>Marketing Website</t>
        </is>
      </c>
      <c r="B6" s="11" t="inlineStr">
        <is>
          <t>No</t>
        </is>
      </c>
      <c r="C6" s="11" t="inlineStr">
        <is>
          <t>N/A</t>
        </is>
      </c>
      <c r="D6" s="11" t="inlineStr"/>
      <c r="E6" s="11" t="inlineStr"/>
      <c r="F6" s="11" t="inlineStr">
        <is>
          <t>No</t>
        </is>
      </c>
      <c r="G6" s="11" t="inlineStr">
        <is>
          <t>No</t>
        </is>
      </c>
      <c r="H6" s="11" t="inlineStr">
        <is>
          <t>No</t>
        </is>
      </c>
      <c r="I6" s="11" t="inlineStr">
        <is>
          <t>❌ Not Approved</t>
        </is>
      </c>
      <c r="J6" s="11" t="inlineStr"/>
    </row>
    <row r="7">
      <c r="A7" s="11" t="inlineStr">
        <is>
          <t>Employee Portal</t>
        </is>
      </c>
      <c r="B7" s="11" t="inlineStr">
        <is>
          <t>Yes</t>
        </is>
      </c>
      <c r="C7" s="11" t="inlineStr">
        <is>
          <t>STRIDE</t>
        </is>
      </c>
      <c r="D7" s="11" t="inlineStr">
        <is>
          <t>/docs/threat-models/APP-004-threat-model.pdf</t>
        </is>
      </c>
      <c r="E7" s="11" t="inlineStr">
        <is>
          <t>2024-11-12</t>
        </is>
      </c>
      <c r="F7" s="11" t="inlineStr">
        <is>
          <t>Yes</t>
        </is>
      </c>
      <c r="G7" s="11" t="inlineStr">
        <is>
          <t>Yes</t>
        </is>
      </c>
      <c r="H7" s="11" t="inlineStr">
        <is>
          <t>Partial</t>
        </is>
      </c>
      <c r="I7" s="11" t="inlineStr">
        <is>
          <t>⏳ Pending</t>
        </is>
      </c>
      <c r="J7" s="11" t="inlineStr">
        <is>
          <t>Bob Williams</t>
        </is>
      </c>
    </row>
    <row r="8">
      <c r="A8" s="11" t="inlineStr">
        <is>
          <t>Finance Dashboard</t>
        </is>
      </c>
      <c r="B8" s="11" t="inlineStr">
        <is>
          <t>Yes</t>
        </is>
      </c>
      <c r="C8" s="11" t="inlineStr">
        <is>
          <t>STRIDE</t>
        </is>
      </c>
      <c r="D8" s="11" t="inlineStr">
        <is>
          <t>/docs/threat-models/APP-005-threat-model.pdf</t>
        </is>
      </c>
      <c r="E8" s="11" t="inlineStr">
        <is>
          <t>2025-01-03</t>
        </is>
      </c>
      <c r="F8" s="11" t="inlineStr">
        <is>
          <t>Yes</t>
        </is>
      </c>
      <c r="G8" s="11" t="inlineStr">
        <is>
          <t>Yes</t>
        </is>
      </c>
      <c r="H8" s="11" t="inlineStr">
        <is>
          <t>Yes</t>
        </is>
      </c>
      <c r="I8" s="11" t="inlineStr">
        <is>
          <t>✅ Approved</t>
        </is>
      </c>
      <c r="J8" s="11" t="inlineStr">
        <is>
          <t>Carol Davis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40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8" customWidth="1" min="11" max="11"/>
    <col width="15" customWidth="1" min="12" max="12"/>
  </cols>
  <sheetData>
    <row r="1" ht="30" customHeight="1">
      <c r="A1" s="1" t="inlineStr">
        <is>
          <t>Security Architecture Review Status</t>
        </is>
      </c>
    </row>
    <row r="2">
      <c r="A2" s="2" t="inlineStr">
        <is>
          <t>Assess security architecture review completion and findings per application</t>
        </is>
      </c>
    </row>
    <row r="3">
      <c r="A3" s="6" t="inlineStr">
        <is>
          <t>Application Name</t>
        </is>
      </c>
      <c r="B3" s="6" t="inlineStr">
        <is>
          <t>Review Conducted?</t>
        </is>
      </c>
      <c r="C3" s="6" t="inlineStr">
        <is>
          <t>Review Date</t>
        </is>
      </c>
      <c r="D3" s="6" t="inlineStr">
        <is>
          <t>Review Report Location/Link</t>
        </is>
      </c>
      <c r="E3" s="6" t="inlineStr">
        <is>
          <t>Reviewers</t>
        </is>
      </c>
      <c r="F3" s="6" t="inlineStr">
        <is>
          <t>Critical Findings</t>
        </is>
      </c>
      <c r="G3" s="6" t="inlineStr">
        <is>
          <t>High Findings</t>
        </is>
      </c>
      <c r="H3" s="6" t="inlineStr">
        <is>
          <t>Medium Findings</t>
        </is>
      </c>
      <c r="I3" s="6" t="inlineStr">
        <is>
          <t>Low Findings</t>
        </is>
      </c>
      <c r="J3" s="6" t="inlineStr">
        <is>
          <t>Open Findings</t>
        </is>
      </c>
      <c r="K3" s="6" t="inlineStr">
        <is>
          <t>Approval Status</t>
        </is>
      </c>
      <c r="L3" s="6" t="inlineStr">
        <is>
          <t>Approval Date</t>
        </is>
      </c>
    </row>
    <row r="4">
      <c r="A4" s="11" t="inlineStr">
        <is>
          <t>Customer Portal</t>
        </is>
      </c>
      <c r="B4" s="11" t="inlineStr">
        <is>
          <t>Yes</t>
        </is>
      </c>
      <c r="C4" s="11" t="inlineStr">
        <is>
          <t>2025-01-09</t>
        </is>
      </c>
      <c r="D4" s="11" t="inlineStr">
        <is>
          <t>/docs/arch-reviews/APP-001-arch-review.pdf</t>
        </is>
      </c>
      <c r="E4" s="11" t="inlineStr">
        <is>
          <t>Security Team, Tech Lead</t>
        </is>
      </c>
      <c r="F4" s="11" t="n">
        <v>0</v>
      </c>
      <c r="G4" s="11" t="n">
        <v>0</v>
      </c>
      <c r="H4" s="11" t="n">
        <v>2</v>
      </c>
      <c r="I4" s="11" t="n">
        <v>3</v>
      </c>
      <c r="J4" s="11" t="n">
        <v>0</v>
      </c>
      <c r="K4" s="11" t="inlineStr">
        <is>
          <t>✅ Approved</t>
        </is>
      </c>
      <c r="L4" s="11" t="inlineStr">
        <is>
          <t>2025-01-11</t>
        </is>
      </c>
    </row>
    <row r="5">
      <c r="A5" s="11" t="inlineStr">
        <is>
          <t>Internal HR System</t>
        </is>
      </c>
      <c r="B5" s="11" t="inlineStr">
        <is>
          <t>Yes</t>
        </is>
      </c>
      <c r="C5" s="11" t="inlineStr">
        <is>
          <t>2024-11-19</t>
        </is>
      </c>
      <c r="D5" s="11" t="inlineStr">
        <is>
          <t>/docs/arch-reviews/APP-002-arch-review.pdf</t>
        </is>
      </c>
      <c r="E5" s="11" t="inlineStr">
        <is>
          <t>Security Architect</t>
        </is>
      </c>
      <c r="F5" s="11" t="n">
        <v>0</v>
      </c>
      <c r="G5" s="11" t="n">
        <v>1</v>
      </c>
      <c r="H5" s="11" t="n">
        <v>3</v>
      </c>
      <c r="I5" s="11" t="n">
        <v>2</v>
      </c>
      <c r="J5" s="11" t="n">
        <v>0</v>
      </c>
      <c r="K5" s="11" t="inlineStr">
        <is>
          <t>✅ Approved</t>
        </is>
      </c>
      <c r="L5" s="11" t="inlineStr">
        <is>
          <t>2024-11-22</t>
        </is>
      </c>
    </row>
    <row r="6">
      <c r="A6" s="11" t="inlineStr">
        <is>
          <t>Marketing Website</t>
        </is>
      </c>
      <c r="B6" s="11" t="inlineStr">
        <is>
          <t>No</t>
        </is>
      </c>
      <c r="C6" s="11" t="inlineStr"/>
      <c r="D6" s="11" t="inlineStr"/>
      <c r="E6" s="11" t="inlineStr"/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inlineStr">
        <is>
          <t>❌ Not Approved</t>
        </is>
      </c>
      <c r="L6" s="11" t="inlineStr"/>
    </row>
    <row r="7">
      <c r="A7" s="11" t="inlineStr">
        <is>
          <t>Employee Portal</t>
        </is>
      </c>
      <c r="B7" s="11" t="inlineStr">
        <is>
          <t>Yes</t>
        </is>
      </c>
      <c r="C7" s="11" t="inlineStr">
        <is>
          <t>2024-11-14</t>
        </is>
      </c>
      <c r="D7" s="11" t="inlineStr">
        <is>
          <t>/docs/arch-reviews/APP-004-arch-review.pdf</t>
        </is>
      </c>
      <c r="E7" s="11" t="inlineStr">
        <is>
          <t>Security Team</t>
        </is>
      </c>
      <c r="F7" s="11" t="n">
        <v>0</v>
      </c>
      <c r="G7" s="11" t="n">
        <v>2</v>
      </c>
      <c r="H7" s="11" t="n">
        <v>1</v>
      </c>
      <c r="I7" s="11" t="n">
        <v>1</v>
      </c>
      <c r="J7" s="11" t="n">
        <v>2</v>
      </c>
      <c r="K7" s="11" t="inlineStr">
        <is>
          <t>⏳ Pending</t>
        </is>
      </c>
      <c r="L7" s="11" t="inlineStr"/>
    </row>
    <row r="8">
      <c r="A8" s="11" t="inlineStr">
        <is>
          <t>Finance Dashboard</t>
        </is>
      </c>
      <c r="B8" s="11" t="inlineStr">
        <is>
          <t>Yes</t>
        </is>
      </c>
      <c r="C8" s="11" t="inlineStr">
        <is>
          <t>2025-01-04</t>
        </is>
      </c>
      <c r="D8" s="11" t="inlineStr">
        <is>
          <t>/docs/arch-reviews/APP-005-arch-review.pdf</t>
        </is>
      </c>
      <c r="E8" s="11" t="inlineStr">
        <is>
          <t>Security Architect, CTO</t>
        </is>
      </c>
      <c r="F8" s="11" t="n">
        <v>0</v>
      </c>
      <c r="G8" s="11" t="n">
        <v>0</v>
      </c>
      <c r="H8" s="11" t="n">
        <v>1</v>
      </c>
      <c r="I8" s="11" t="n">
        <v>2</v>
      </c>
      <c r="J8" s="11" t="n">
        <v>0</v>
      </c>
      <c r="K8" s="11" t="inlineStr">
        <is>
          <t>✅ Approved</t>
        </is>
      </c>
      <c r="L8" s="11" t="inlineStr">
        <is>
          <t>2025-01-06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  <col width="15" customWidth="1" min="4" max="4"/>
    <col width="22" customWidth="1" min="5" max="5"/>
    <col width="22" customWidth="1" min="6" max="6"/>
    <col width="22" customWidth="1" min="7" max="7"/>
    <col width="18" customWidth="1" min="8" max="8"/>
    <col width="15" customWidth="1" min="9" max="9"/>
  </cols>
  <sheetData>
    <row r="1" ht="30" customHeight="1">
      <c r="A1" s="1" t="inlineStr">
        <is>
          <t>Requirements Traceability Matrix Status</t>
        </is>
      </c>
    </row>
    <row r="2">
      <c r="A2" s="2" t="inlineStr">
        <is>
          <t>Assess requirements traceability completeness per application</t>
        </is>
      </c>
    </row>
    <row r="3">
      <c r="A3" s="6" t="inlineStr">
        <is>
          <t>Application Name</t>
        </is>
      </c>
      <c r="B3" s="6" t="inlineStr">
        <is>
          <t>Traceability Matrix Exists?</t>
        </is>
      </c>
      <c r="C3" s="6" t="inlineStr">
        <is>
          <t>Matrix Location/Link</t>
        </is>
      </c>
      <c r="D3" s="6" t="inlineStr">
        <is>
          <t>Last Updated</t>
        </is>
      </c>
      <c r="E3" s="6" t="inlineStr">
        <is>
          <t>Requirements → Design Traced?</t>
        </is>
      </c>
      <c r="F3" s="6" t="inlineStr">
        <is>
          <t>Requirements → Code Traced?</t>
        </is>
      </c>
      <c r="G3" s="6" t="inlineStr">
        <is>
          <t>Requirements → Tests Traced?</t>
        </is>
      </c>
      <c r="H3" s="6" t="inlineStr">
        <is>
          <t>Traceability Coverage (%)</t>
        </is>
      </c>
      <c r="I3" s="6" t="inlineStr">
        <is>
          <t>Quality Score (%)</t>
        </is>
      </c>
    </row>
    <row r="4">
      <c r="A4" s="11" t="inlineStr">
        <is>
          <t>Customer Portal</t>
        </is>
      </c>
      <c r="B4" s="11" t="inlineStr">
        <is>
          <t>Yes</t>
        </is>
      </c>
      <c r="C4" s="11" t="inlineStr">
        <is>
          <t>/docs/traceability/APP-001-traceability.xlsx</t>
        </is>
      </c>
      <c r="D4" s="11" t="inlineStr">
        <is>
          <t>2025-01-14</t>
        </is>
      </c>
      <c r="E4" s="11" t="inlineStr">
        <is>
          <t>Yes</t>
        </is>
      </c>
      <c r="F4" s="11" t="inlineStr">
        <is>
          <t>Yes</t>
        </is>
      </c>
      <c r="G4" s="11" t="inlineStr">
        <is>
          <t>Yes</t>
        </is>
      </c>
      <c r="H4" s="12" t="n">
        <v>95</v>
      </c>
    </row>
    <row r="5">
      <c r="A5" s="11" t="inlineStr">
        <is>
          <t>Internal HR System</t>
        </is>
      </c>
      <c r="B5" s="11" t="inlineStr">
        <is>
          <t>Yes</t>
        </is>
      </c>
      <c r="C5" s="11" t="inlineStr">
        <is>
          <t>/docs/traceability/APP-002-traceability.xlsx</t>
        </is>
      </c>
      <c r="D5" s="11" t="inlineStr">
        <is>
          <t>2024-12-08</t>
        </is>
      </c>
      <c r="E5" s="11" t="inlineStr">
        <is>
          <t>Yes</t>
        </is>
      </c>
      <c r="F5" s="11" t="inlineStr">
        <is>
          <t>Yes</t>
        </is>
      </c>
      <c r="G5" s="11" t="inlineStr">
        <is>
          <t>Partial</t>
        </is>
      </c>
      <c r="H5" s="12" t="n">
        <v>85</v>
      </c>
    </row>
    <row r="6">
      <c r="A6" s="11" t="inlineStr">
        <is>
          <t>Marketing Website</t>
        </is>
      </c>
      <c r="B6" s="11" t="inlineStr">
        <is>
          <t>No</t>
        </is>
      </c>
      <c r="C6" s="11" t="inlineStr"/>
      <c r="D6" s="11" t="inlineStr"/>
      <c r="E6" s="11" t="inlineStr">
        <is>
          <t>No</t>
        </is>
      </c>
      <c r="F6" s="11" t="inlineStr">
        <is>
          <t>No</t>
        </is>
      </c>
      <c r="G6" s="11" t="inlineStr">
        <is>
          <t>No</t>
        </is>
      </c>
      <c r="H6" s="12" t="n">
        <v>0</v>
      </c>
    </row>
    <row r="7">
      <c r="A7" s="11" t="inlineStr">
        <is>
          <t>Employee Portal</t>
        </is>
      </c>
      <c r="B7" s="11" t="inlineStr">
        <is>
          <t>Yes</t>
        </is>
      </c>
      <c r="C7" s="11" t="inlineStr">
        <is>
          <t>/docs/traceability/APP-004-traceability.xlsx</t>
        </is>
      </c>
      <c r="D7" s="11" t="inlineStr">
        <is>
          <t>2024-11-20</t>
        </is>
      </c>
      <c r="E7" s="11" t="inlineStr">
        <is>
          <t>Yes</t>
        </is>
      </c>
      <c r="F7" s="11" t="inlineStr">
        <is>
          <t>Partial</t>
        </is>
      </c>
      <c r="G7" s="11" t="inlineStr">
        <is>
          <t>Partial</t>
        </is>
      </c>
      <c r="H7" s="12" t="n">
        <v>75</v>
      </c>
    </row>
    <row r="8">
      <c r="A8" s="11" t="inlineStr">
        <is>
          <t>Finance Dashboard</t>
        </is>
      </c>
      <c r="B8" s="11" t="inlineStr">
        <is>
          <t>Yes</t>
        </is>
      </c>
      <c r="C8" s="11" t="inlineStr">
        <is>
          <t>/docs/traceability/APP-005-traceability.xlsx</t>
        </is>
      </c>
      <c r="D8" s="11" t="inlineStr">
        <is>
          <t>2025-01-07</t>
        </is>
      </c>
      <c r="E8" s="11" t="inlineStr">
        <is>
          <t>Yes</t>
        </is>
      </c>
      <c r="F8" s="11" t="inlineStr">
        <is>
          <t>Yes</t>
        </is>
      </c>
      <c r="G8" s="11" t="inlineStr">
        <is>
          <t>Yes</t>
        </is>
      </c>
      <c r="H8" s="12" t="n">
        <v>90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22" customWidth="1" min="8" max="8"/>
  </cols>
  <sheetData>
    <row r="1" ht="40" customHeight="1">
      <c r="A1" s="1" t="inlineStr">
        <is>
          <t>A.8.26 Security Requirements Compliance Dashboard</t>
        </is>
      </c>
    </row>
    <row r="2">
      <c r="A2" s="2" t="inlineStr">
        <is>
          <t>Overall compliance summary for application security requirements</t>
        </is>
      </c>
    </row>
    <row r="4">
      <c r="A4" s="2" t="inlineStr">
        <is>
          <t>Portfolio Summary Statistics</t>
        </is>
      </c>
    </row>
    <row r="5">
      <c r="A5" s="3" t="inlineStr">
        <is>
          <t>Total Applications:</t>
        </is>
      </c>
      <c r="B5" s="4" t="inlineStr">
        <is>
          <t>[Calculated from data]</t>
        </is>
      </c>
    </row>
    <row r="6">
      <c r="A6" s="3" t="inlineStr">
        <is>
          <t>High Risk Applications:</t>
        </is>
      </c>
      <c r="B6" s="4" t="inlineStr">
        <is>
          <t>[Calculated from data]</t>
        </is>
      </c>
    </row>
    <row r="7">
      <c r="A7" s="3" t="inlineStr">
        <is>
          <t>Medium Risk Applications:</t>
        </is>
      </c>
      <c r="B7" s="4" t="inlineStr">
        <is>
          <t>[Calculated from data]</t>
        </is>
      </c>
    </row>
    <row r="8">
      <c r="A8" s="3" t="inlineStr">
        <is>
          <t>Low Risk Applications:</t>
        </is>
      </c>
      <c r="B8" s="4" t="inlineStr">
        <is>
          <t>[Calculated from data]</t>
        </is>
      </c>
    </row>
    <row r="9">
      <c r="A9" s="3" t="inlineStr">
        <is>
          <t>Applications with Security Requirements:</t>
        </is>
      </c>
      <c r="B9" s="4" t="inlineStr">
        <is>
          <t>[Calculated from data]</t>
        </is>
      </c>
    </row>
    <row r="10">
      <c r="A10" s="3" t="inlineStr">
        <is>
          <t>Applications with Threat Models:</t>
        </is>
      </c>
      <c r="B10" s="4" t="inlineStr">
        <is>
          <t>[Calculated from data]</t>
        </is>
      </c>
    </row>
    <row r="11">
      <c r="A11" s="3" t="inlineStr">
        <is>
          <t>Applications with Architecture Reviews:</t>
        </is>
      </c>
      <c r="B11" s="4" t="inlineStr">
        <is>
          <t>[Calculated from data]</t>
        </is>
      </c>
    </row>
    <row r="12">
      <c r="A12" s="3" t="inlineStr">
        <is>
          <t>Overall Portfolio Compliance Score:</t>
        </is>
      </c>
      <c r="B12" s="4" t="inlineStr">
        <is>
          <t>[Calculated from data]</t>
        </is>
      </c>
    </row>
    <row r="14">
      <c r="A14" s="2" t="inlineStr">
        <is>
          <t>Application-Level Compliance Scores</t>
        </is>
      </c>
    </row>
    <row r="15">
      <c r="A15" s="6" t="inlineStr">
        <is>
          <t>Application Name</t>
        </is>
      </c>
      <c r="B15" s="6" t="inlineStr">
        <is>
          <t>Risk Level</t>
        </is>
      </c>
      <c r="C15" s="6" t="inlineStr">
        <is>
          <t>Req Score (%)</t>
        </is>
      </c>
      <c r="D15" s="6" t="inlineStr">
        <is>
          <t>TM Score (%)</t>
        </is>
      </c>
      <c r="E15" s="6" t="inlineStr">
        <is>
          <t>Arch Score</t>
        </is>
      </c>
      <c r="F15" s="6" t="inlineStr">
        <is>
          <t>Trace Score (%)</t>
        </is>
      </c>
      <c r="G15" s="6" t="inlineStr">
        <is>
          <t>Overall Score (%)</t>
        </is>
      </c>
      <c r="H15" s="6" t="inlineStr">
        <is>
          <t>Compliance Status</t>
        </is>
      </c>
    </row>
    <row r="16">
      <c r="A16" t="inlineStr">
        <is>
          <t>Customer Portal</t>
        </is>
      </c>
      <c r="B16" t="inlineStr">
        <is>
          <t>High Risk</t>
        </is>
      </c>
      <c r="C16" s="13">
        <f>Requirements_Documentation_Status!K4</f>
        <v/>
      </c>
      <c r="D16" s="14">
        <f>Threat_Modeling_Status!K4</f>
        <v/>
      </c>
      <c r="E16" s="14">
        <f>IF(Architecture_Review_Status!K4="✅ Approved",100,IF(Architecture_Review_Status!K4="⏳ Pending",50,0))</f>
        <v/>
      </c>
      <c r="F16" s="13">
        <f>Traceability_Matrix_Status!I4</f>
        <v/>
      </c>
      <c r="G16" s="13">
        <f>(C16*0.4+D16*0.3+E16*0.2+F16*0.1)</f>
        <v/>
      </c>
      <c r="H16">
        <f>IF(G16&gt;=80,"✅ Compliant",IF(G16&gt;=60,"⚠️ Partial Compliance","❌ Non-Compliant"))</f>
        <v/>
      </c>
    </row>
    <row r="17">
      <c r="A17" t="inlineStr">
        <is>
          <t>Internal HR System</t>
        </is>
      </c>
      <c r="B17" t="inlineStr">
        <is>
          <t>High Risk</t>
        </is>
      </c>
      <c r="C17" s="13">
        <f>Requirements_Documentation_Status!K5</f>
        <v/>
      </c>
      <c r="D17" s="14">
        <f>Threat_Modeling_Status!K5</f>
        <v/>
      </c>
      <c r="E17" s="14">
        <f>IF(Architecture_Review_Status!K5="✅ Approved",100,IF(Architecture_Review_Status!K5="⏳ Pending",50,0))</f>
        <v/>
      </c>
      <c r="F17" s="13">
        <f>Traceability_Matrix_Status!I5</f>
        <v/>
      </c>
      <c r="G17" s="13">
        <f>(C17*0.4+D17*0.3+E17*0.2+F17*0.1)</f>
        <v/>
      </c>
      <c r="H17">
        <f>IF(G17&gt;=80,"✅ Compliant",IF(G17&gt;=60,"⚠️ Partial Compliance","❌ Non-Compliant"))</f>
        <v/>
      </c>
    </row>
    <row r="18">
      <c r="A18" t="inlineStr">
        <is>
          <t>Marketing Website</t>
        </is>
      </c>
      <c r="B18" t="inlineStr">
        <is>
          <t>High Risk</t>
        </is>
      </c>
      <c r="C18" s="13">
        <f>Requirements_Documentation_Status!K6</f>
        <v/>
      </c>
      <c r="D18" s="14">
        <f>Threat_Modeling_Status!K6</f>
        <v/>
      </c>
      <c r="E18" s="14">
        <f>IF(Architecture_Review_Status!K6="✅ Approved",100,IF(Architecture_Review_Status!K6="⏳ Pending",50,0))</f>
        <v/>
      </c>
      <c r="F18" s="13">
        <f>Traceability_Matrix_Status!I6</f>
        <v/>
      </c>
      <c r="G18" s="13">
        <f>(C18*0.4+D18*0.3+E18*0.2+F18*0.1)</f>
        <v/>
      </c>
      <c r="H18">
        <f>IF(G18&gt;=80,"✅ Compliant",IF(G18&gt;=60,"⚠️ Partial Compliance","❌ Non-Compliant"))</f>
        <v/>
      </c>
    </row>
    <row r="19">
      <c r="A19" t="inlineStr">
        <is>
          <t>Employee Portal</t>
        </is>
      </c>
      <c r="B19" t="inlineStr">
        <is>
          <t>High Risk</t>
        </is>
      </c>
      <c r="C19" s="13">
        <f>Requirements_Documentation_Status!K7</f>
        <v/>
      </c>
      <c r="D19" s="14">
        <f>Threat_Modeling_Status!K7</f>
        <v/>
      </c>
      <c r="E19" s="14">
        <f>IF(Architecture_Review_Status!K7="✅ Approved",100,IF(Architecture_Review_Status!K7="⏳ Pending",50,0))</f>
        <v/>
      </c>
      <c r="F19" s="13">
        <f>Traceability_Matrix_Status!I7</f>
        <v/>
      </c>
      <c r="G19" s="13">
        <f>(C19*0.4+D19*0.3+E19*0.2+F19*0.1)</f>
        <v/>
      </c>
      <c r="H19">
        <f>IF(G19&gt;=80,"✅ Compliant",IF(G19&gt;=60,"⚠️ Partial Compliance","❌ Non-Compliant"))</f>
        <v/>
      </c>
    </row>
    <row r="20">
      <c r="A20" t="inlineStr">
        <is>
          <t>Finance Dashboard</t>
        </is>
      </c>
      <c r="B20" t="inlineStr">
        <is>
          <t>High Risk</t>
        </is>
      </c>
      <c r="C20" s="13">
        <f>Requirements_Documentation_Status!K8</f>
        <v/>
      </c>
      <c r="D20" s="14">
        <f>Threat_Modeling_Status!K8</f>
        <v/>
      </c>
      <c r="E20" s="14">
        <f>IF(Architecture_Review_Status!K8="✅ Approved",100,IF(Architecture_Review_Status!K8="⏳ Pending",50,0))</f>
        <v/>
      </c>
      <c r="F20" s="13">
        <f>Traceability_Matrix_Status!I8</f>
        <v/>
      </c>
      <c r="G20" s="13">
        <f>(C20*0.4+D20*0.3+E20*0.2+F20*0.1)</f>
        <v/>
      </c>
      <c r="H20">
        <f>IF(G20&gt;=80,"✅ Compliant",IF(G20&gt;=60,"⚠️ Partial Compliance","❌ Non-Compliant"))</f>
        <v/>
      </c>
    </row>
    <row r="22">
      <c r="A22" s="2" t="inlineStr">
        <is>
          <t>Gap Analysis - Applications Requiring Attention</t>
        </is>
      </c>
    </row>
    <row r="23">
      <c r="A23" s="3" t="inlineStr">
        <is>
          <t>Applications without Security Requirements:</t>
        </is>
      </c>
      <c r="B23" s="8" t="inlineStr">
        <is>
          <t>[List applications]</t>
        </is>
      </c>
    </row>
    <row r="24">
      <c r="A24" s="3" t="inlineStr">
        <is>
          <t>Applications without Threat Models:</t>
        </is>
      </c>
      <c r="B24" s="8" t="inlineStr">
        <is>
          <t>[List applications]</t>
        </is>
      </c>
    </row>
    <row r="25">
      <c r="A25" s="3" t="inlineStr">
        <is>
          <t>Applications without Architecture Reviews:</t>
        </is>
      </c>
      <c r="B25" s="8" t="inlineStr">
        <is>
          <t>[List applications]</t>
        </is>
      </c>
    </row>
    <row r="26">
      <c r="A26" s="3" t="inlineStr">
        <is>
          <t>Applications with Open Critical Findings:</t>
        </is>
      </c>
      <c r="B26" s="8" t="inlineStr">
        <is>
          <t>[List applications]</t>
        </is>
      </c>
    </row>
    <row r="27">
      <c r="A27" s="3" t="inlineStr">
        <is>
          <t>Applications below 80% Compliance Threshold:</t>
        </is>
      </c>
      <c r="B27" s="8" t="inlineStr">
        <is>
          <t>[List applications]</t>
        </is>
      </c>
    </row>
  </sheetData>
  <mergeCells count="5">
    <mergeCell ref="A4:H4"/>
    <mergeCell ref="A2:H2"/>
    <mergeCell ref="A14:H14"/>
    <mergeCell ref="A1:H1"/>
    <mergeCell ref="A22:H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45" customWidth="1" min="4" max="4"/>
    <col width="15" customWidth="1" min="5" max="5"/>
    <col width="20" customWidth="1" min="6" max="6"/>
    <col width="15" customWidth="1" min="7" max="7"/>
  </cols>
  <sheetData>
    <row r="1" ht="30" customHeight="1">
      <c r="A1" s="1" t="inlineStr">
        <is>
          <t>Evidence Register</t>
        </is>
      </c>
    </row>
    <row r="2">
      <c r="A2" s="2" t="inlineStr">
        <is>
          <t>Centralized register of all security requirements evidence</t>
        </is>
      </c>
    </row>
    <row r="3">
      <c r="A3" s="6" t="inlineStr">
        <is>
          <t>Evidence Type</t>
        </is>
      </c>
      <c r="B3" s="6" t="inlineStr">
        <is>
          <t>Application Name</t>
        </is>
      </c>
      <c r="C3" s="6" t="inlineStr">
        <is>
          <t>Document Title/Description</t>
        </is>
      </c>
      <c r="D3" s="6" t="inlineStr">
        <is>
          <t>Document Location/Link</t>
        </is>
      </c>
      <c r="E3" s="6" t="inlineStr">
        <is>
          <t>Last Updated</t>
        </is>
      </c>
      <c r="F3" s="6" t="inlineStr">
        <is>
          <t>Owner</t>
        </is>
      </c>
      <c r="G3" s="6" t="inlineStr">
        <is>
          <t>Status</t>
        </is>
      </c>
    </row>
    <row r="4">
      <c r="A4" s="11" t="inlineStr">
        <is>
          <t>Security Requirements</t>
        </is>
      </c>
      <c r="B4" s="11" t="inlineStr">
        <is>
          <t>Customer Portal</t>
        </is>
      </c>
      <c r="C4" s="11" t="inlineStr">
        <is>
          <t>APP-001 Security Requirements v1.2</t>
        </is>
      </c>
      <c r="D4" s="11" t="inlineStr">
        <is>
          <t>/docs/security-requirements/APP-001-sec-req.pdf</t>
        </is>
      </c>
      <c r="E4" s="11" t="inlineStr">
        <is>
          <t>2025-01-10</t>
        </is>
      </c>
      <c r="F4" s="11" t="inlineStr">
        <is>
          <t>Jane Doe</t>
        </is>
      </c>
      <c r="G4" s="11" t="inlineStr">
        <is>
          <t>Current</t>
        </is>
      </c>
    </row>
    <row r="5">
      <c r="A5" s="11" t="inlineStr">
        <is>
          <t>Threat Model</t>
        </is>
      </c>
      <c r="B5" s="11" t="inlineStr">
        <is>
          <t>Customer Portal</t>
        </is>
      </c>
      <c r="C5" s="11" t="inlineStr">
        <is>
          <t>APP-001 STRIDE Threat Model</t>
        </is>
      </c>
      <c r="D5" s="11" t="inlineStr">
        <is>
          <t>/docs/threat-models/APP-001-threat-model.pdf</t>
        </is>
      </c>
      <c r="E5" s="11" t="inlineStr">
        <is>
          <t>2025-01-08</t>
        </is>
      </c>
      <c r="F5" s="11" t="inlineStr">
        <is>
          <t>Security Team</t>
        </is>
      </c>
      <c r="G5" s="11" t="inlineStr">
        <is>
          <t>Current</t>
        </is>
      </c>
    </row>
    <row r="6">
      <c r="A6" s="11" t="inlineStr">
        <is>
          <t>Architecture Review</t>
        </is>
      </c>
      <c r="B6" s="11" t="inlineStr">
        <is>
          <t>Customer Portal</t>
        </is>
      </c>
      <c r="C6" s="11" t="inlineStr">
        <is>
          <t>APP-001 Security Architecture Review Report</t>
        </is>
      </c>
      <c r="D6" s="11" t="inlineStr">
        <is>
          <t>/docs/arch-reviews/APP-001-arch-review.pdf</t>
        </is>
      </c>
      <c r="E6" s="11" t="inlineStr">
        <is>
          <t>2025-01-09</t>
        </is>
      </c>
      <c r="F6" s="11" t="inlineStr">
        <is>
          <t>Security Architect</t>
        </is>
      </c>
      <c r="G6" s="11" t="inlineStr">
        <is>
          <t>Current</t>
        </is>
      </c>
    </row>
    <row r="7">
      <c r="A7" s="11" t="inlineStr">
        <is>
          <t>Traceability Matrix</t>
        </is>
      </c>
      <c r="B7" s="11" t="inlineStr">
        <is>
          <t>Customer Portal</t>
        </is>
      </c>
      <c r="C7" s="11" t="inlineStr">
        <is>
          <t>APP-001 Requirements Traceability</t>
        </is>
      </c>
      <c r="D7" s="11" t="inlineStr">
        <is>
          <t>/docs/traceability/APP-001-traceability.xlsx</t>
        </is>
      </c>
      <c r="E7" s="11" t="inlineStr">
        <is>
          <t>2025-01-14</t>
        </is>
      </c>
      <c r="F7" s="11" t="inlineStr">
        <is>
          <t>Dev Lead</t>
        </is>
      </c>
      <c r="G7" s="11" t="inlineStr">
        <is>
          <t>Current</t>
        </is>
      </c>
    </row>
    <row r="8">
      <c r="A8" s="11" t="inlineStr">
        <is>
          <t>Security Requirements</t>
        </is>
      </c>
      <c r="B8" s="11" t="inlineStr">
        <is>
          <t>Internal HR System</t>
        </is>
      </c>
      <c r="C8" s="11" t="inlineStr">
        <is>
          <t>APP-002 Security Requirements v1.0</t>
        </is>
      </c>
      <c r="D8" s="11" t="inlineStr">
        <is>
          <t>/docs/security-requirements/APP-002-sec-req.pdf</t>
        </is>
      </c>
      <c r="E8" s="11" t="inlineStr">
        <is>
          <t>2024-11-20</t>
        </is>
      </c>
      <c r="F8" s="11" t="inlineStr">
        <is>
          <t>John Smith</t>
        </is>
      </c>
      <c r="G8" s="11" t="inlineStr">
        <is>
          <t>Current</t>
        </is>
      </c>
    </row>
    <row r="9">
      <c r="A9" s="11" t="inlineStr">
        <is>
          <t>Threat Model</t>
        </is>
      </c>
      <c r="B9" s="11" t="inlineStr">
        <is>
          <t>Internal HR System</t>
        </is>
      </c>
      <c r="C9" s="11" t="inlineStr">
        <is>
          <t>APP-002 STRIDE Threat Model</t>
        </is>
      </c>
      <c r="D9" s="11" t="inlineStr">
        <is>
          <t>/docs/threat-models/APP-002-threat-model.pdf</t>
        </is>
      </c>
      <c r="E9" s="11" t="inlineStr">
        <is>
          <t>2024-11-18</t>
        </is>
      </c>
      <c r="F9" s="11" t="inlineStr">
        <is>
          <t>Security Team</t>
        </is>
      </c>
      <c r="G9" s="11" t="inlineStr">
        <is>
          <t>Current</t>
        </is>
      </c>
    </row>
    <row r="10">
      <c r="A10" s="11" t="inlineStr">
        <is>
          <t>Architecture Review</t>
        </is>
      </c>
      <c r="B10" s="11" t="inlineStr">
        <is>
          <t>Internal HR System</t>
        </is>
      </c>
      <c r="C10" s="11" t="inlineStr">
        <is>
          <t>APP-002 Security Architecture Review</t>
        </is>
      </c>
      <c r="D10" s="11" t="inlineStr">
        <is>
          <t>/docs/arch-reviews/APP-002-arch-review.pdf</t>
        </is>
      </c>
      <c r="E10" s="11" t="inlineStr">
        <is>
          <t>2024-11-19</t>
        </is>
      </c>
      <c r="F10" s="11" t="inlineStr">
        <is>
          <t>Security Architect</t>
        </is>
      </c>
      <c r="G10" s="11" t="inlineStr">
        <is>
          <t>Current</t>
        </is>
      </c>
    </row>
    <row r="11">
      <c r="A11" s="11" t="inlineStr">
        <is>
          <t>Security Requirements</t>
        </is>
      </c>
      <c r="B11" s="11" t="inlineStr">
        <is>
          <t>Marketing Website</t>
        </is>
      </c>
      <c r="C11" s="11" t="inlineStr">
        <is>
          <t>APP-003 Baseline Security Requirements</t>
        </is>
      </c>
      <c r="D11" s="11" t="inlineStr">
        <is>
          <t>/docs/security-requirements/APP-003-baseline.pdf</t>
        </is>
      </c>
      <c r="E11" s="11" t="inlineStr">
        <is>
          <t>2024-12-15</t>
        </is>
      </c>
      <c r="F11" s="11" t="inlineStr">
        <is>
          <t>Alice Johnson</t>
        </is>
      </c>
      <c r="G11" s="11" t="inlineStr">
        <is>
          <t>Outdated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5" customWidth="1" min="4" max="4"/>
    <col width="40" customWidth="1" min="5" max="5"/>
  </cols>
  <sheetData>
    <row r="1" ht="40" customHeight="1">
      <c r="A1" s="1" t="inlineStr">
        <is>
          <t>Assessment Approval and Sign-Off</t>
        </is>
      </c>
    </row>
    <row r="3">
      <c r="A3" s="2" t="inlineStr">
        <is>
          <t>Assessment Information</t>
        </is>
      </c>
    </row>
    <row r="4">
      <c r="A4" s="3" t="inlineStr">
        <is>
          <t>Assessment Date:</t>
        </is>
      </c>
      <c r="B4" s="4" t="inlineStr">
        <is>
          <t>[USER INPUT]</t>
        </is>
      </c>
    </row>
    <row r="5">
      <c r="A5" s="3" t="inlineStr">
        <is>
          <t>Assessed By:</t>
        </is>
      </c>
      <c r="B5" s="4" t="inlineStr">
        <is>
          <t>[USER INPUT]</t>
        </is>
      </c>
    </row>
    <row r="6">
      <c r="A6" s="3" t="inlineStr">
        <is>
          <t>Organization:</t>
        </is>
      </c>
      <c r="B6" s="4" t="inlineStr">
        <is>
          <t>[USER INPUT]</t>
        </is>
      </c>
    </row>
    <row r="7">
      <c r="A7" s="3" t="inlineStr">
        <is>
          <t>Assessment Period:</t>
        </is>
      </c>
      <c r="B7" t="inlineStr">
        <is>
          <t>[USER INPUT - e.g., Q1 2025]</t>
        </is>
      </c>
    </row>
    <row r="8">
      <c r="A8" s="3" t="inlineStr">
        <is>
          <t>Total Applications Assessed:</t>
        </is>
      </c>
      <c r="B8" s="4" t="inlineStr">
        <is>
          <t>[Auto-calculated or USER INPUT]</t>
        </is>
      </c>
    </row>
    <row r="11">
      <c r="A11" s="2" t="inlineStr">
        <is>
          <t>Approval Sign-Off</t>
        </is>
      </c>
    </row>
    <row r="12">
      <c r="A12" s="6" t="inlineStr">
        <is>
          <t>Approver Name</t>
        </is>
      </c>
      <c r="B12" s="6" t="inlineStr">
        <is>
          <t>Role/Title</t>
        </is>
      </c>
      <c r="C12" s="6" t="inlineStr">
        <is>
          <t>Date</t>
        </is>
      </c>
      <c r="D12" s="6" t="inlineStr">
        <is>
          <t>Signature</t>
        </is>
      </c>
      <c r="E12" s="6" t="inlineStr">
        <is>
          <t>Comments</t>
        </is>
      </c>
    </row>
    <row r="13">
      <c r="A13" s="4" t="inlineStr">
        <is>
          <t>[Name]</t>
        </is>
      </c>
      <c r="B13" t="inlineStr">
        <is>
          <t>Security Architect</t>
        </is>
      </c>
      <c r="C13" s="4" t="inlineStr">
        <is>
          <t>[Date]</t>
        </is>
      </c>
      <c r="D13" s="4" t="inlineStr">
        <is>
          <t>[Signature/Initials]</t>
        </is>
      </c>
      <c r="E13" s="4" t="inlineStr"/>
    </row>
    <row r="14">
      <c r="A14" s="4" t="inlineStr">
        <is>
          <t>[Name]</t>
        </is>
      </c>
      <c r="B14" t="inlineStr">
        <is>
          <t>CISO / Security Leadership</t>
        </is>
      </c>
      <c r="C14" s="4" t="inlineStr">
        <is>
          <t>[Date]</t>
        </is>
      </c>
      <c r="D14" s="4" t="inlineStr">
        <is>
          <t>[Signature/Initials]</t>
        </is>
      </c>
      <c r="E14" s="4" t="inlineStr"/>
    </row>
    <row r="15">
      <c r="A15" s="4" t="inlineStr">
        <is>
          <t>[Name]</t>
        </is>
      </c>
      <c r="B15" t="inlineStr">
        <is>
          <t>Compliance Officer</t>
        </is>
      </c>
      <c r="C15" s="4" t="inlineStr">
        <is>
          <t>[Date]</t>
        </is>
      </c>
      <c r="D15" s="4" t="inlineStr">
        <is>
          <t>[Signature/Initials]</t>
        </is>
      </c>
      <c r="E15" s="4" t="inlineStr"/>
    </row>
    <row r="16">
      <c r="A16" s="4" t="inlineStr">
        <is>
          <t>[Name]</t>
        </is>
      </c>
      <c r="B16" t="inlineStr">
        <is>
          <t>Application Portfolio Manager</t>
        </is>
      </c>
      <c r="C16" s="4" t="inlineStr">
        <is>
          <t>[Date]</t>
        </is>
      </c>
      <c r="D16" s="4" t="inlineStr">
        <is>
          <t>[Signature/Initials]</t>
        </is>
      </c>
      <c r="E16" s="4" t="inlineStr"/>
    </row>
    <row r="19">
      <c r="A19" s="2" t="inlineStr">
        <is>
          <t>Overall Compliance Determination</t>
        </is>
      </c>
    </row>
    <row r="20">
      <c r="A20" s="3" t="inlineStr">
        <is>
          <t>Overall Portfolio Compliance Status:</t>
        </is>
      </c>
      <c r="B20" s="4" t="inlineStr">
        <is>
          <t>[✅ Compliant / ⚠️ Partial Compliance / ❌ Non-Compliant]</t>
        </is>
      </c>
    </row>
    <row r="21">
      <c r="A21" s="3" t="inlineStr">
        <is>
          <t>Overall Compliance Score:</t>
        </is>
      </c>
      <c r="B21" s="4" t="inlineStr">
        <is>
          <t>[X%]</t>
        </is>
      </c>
    </row>
    <row r="23">
      <c r="A23" s="2" t="inlineStr">
        <is>
          <t>Recommended Actions</t>
        </is>
      </c>
    </row>
    <row r="24" ht="100" customHeight="1">
      <c r="A24" s="15" t="inlineStr">
        <is>
          <t>[Document recommended actions based on gap analysis and compliance summary]</t>
        </is>
      </c>
    </row>
    <row r="25"/>
    <row r="26"/>
    <row r="27"/>
    <row r="28"/>
    <row r="29"/>
  </sheetData>
  <mergeCells count="6">
    <mergeCell ref="A24:E29"/>
    <mergeCell ref="A19:E19"/>
    <mergeCell ref="A11:E11"/>
    <mergeCell ref="A1:E1"/>
    <mergeCell ref="A23:E2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2026-01-31T02:18:34Z</dcterms:created>
  <dcterms:modified xmlns:dcterms="http://purl.org/dc/terms/" xmlns:xsi="http://www.w3.org/2001/XMLSchema-instance" xsi:type="dcterms:W3CDTF">2026-01-31T02:18:34Z</dcterms:modified>
</cp:coreProperties>
</file>