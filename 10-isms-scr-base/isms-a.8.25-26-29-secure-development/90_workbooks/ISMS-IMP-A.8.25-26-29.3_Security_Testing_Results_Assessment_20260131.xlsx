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ecurity_Testing_Coverage" sheetId="2" state="visible" r:id="rId2"/>
    <sheet xmlns:r="http://schemas.openxmlformats.org/officeDocument/2006/relationships" name="SAST_Scan_Results" sheetId="3" state="visible" r:id="rId3"/>
    <sheet xmlns:r="http://schemas.openxmlformats.org/officeDocument/2006/relationships" name="DAST_Scan_Results" sheetId="4" state="visible" r:id="rId4"/>
    <sheet xmlns:r="http://schemas.openxmlformats.org/officeDocument/2006/relationships" name="SCA_Scan_Results" sheetId="5" state="visible" r:id="rId5"/>
    <sheet xmlns:r="http://schemas.openxmlformats.org/officeDocument/2006/relationships" name="Penetration_Testing_Results" sheetId="6" state="visible" r:id="rId6"/>
    <sheet xmlns:r="http://schemas.openxmlformats.org/officeDocument/2006/relationships" name="Security_Acceptance_Testing" sheetId="7" state="visible" r:id="rId7"/>
    <sheet xmlns:r="http://schemas.openxmlformats.org/officeDocument/2006/relationships" name="Compliance_Summary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5" customWidth="1" min="4" max="4"/>
  </cols>
  <sheetData>
    <row r="1" ht="40" customHeight="1">
      <c r="A1" s="1" t="inlineStr">
        <is>
          <t>ISMS-IMP-A.8.25-26-29.3
ISO/IEC 27001:2022 - Controls A.8.25, A.8.26, A.8.29: Secure Development</t>
        </is>
      </c>
    </row>
    <row r="2">
      <c r="A2" s="2" t="inlineStr">
        <is>
          <t>ISO/IEC 27001:2022 - Control A.8.29: Security Testing in Development and Acceptance</t>
        </is>
      </c>
    </row>
    <row r="4">
      <c r="A4" s="3" t="inlineStr">
        <is>
          <t>Document ID:</t>
        </is>
      </c>
      <c r="B4" t="inlineStr">
        <is>
          <t>ISMS-IMP-A.8.25-26-29.3</t>
        </is>
      </c>
    </row>
    <row r="5">
      <c r="A5" s="3" t="inlineStr">
        <is>
          <t>Assessment Area:</t>
        </is>
      </c>
      <c r="B5" t="inlineStr">
        <is>
          <t>Security Testing Results</t>
        </is>
      </c>
    </row>
    <row r="6">
      <c r="A6" s="3" t="inlineStr">
        <is>
          <t>Related Policy:</t>
        </is>
      </c>
      <c r="B6" t="inlineStr">
        <is>
          <t>ISMS-POL-A.8.25-26-29-S4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How to Use This Workbook</t>
        </is>
      </c>
    </row>
    <row r="14" ht="20" customHeight="1">
      <c r="A14" s="5" t="inlineStr">
        <is>
          <t>1. Track security testing coverage in Security_Testing_Coverage</t>
        </is>
      </c>
    </row>
    <row r="15" ht="20" customHeight="1">
      <c r="A15" s="5" t="inlineStr">
        <is>
          <t>2. Record SAST scan results in SAST_Scan_Results</t>
        </is>
      </c>
    </row>
    <row r="16" ht="20" customHeight="1">
      <c r="A16" s="5" t="inlineStr">
        <is>
          <t>3. Record DAST scan results in DAST_Scan_Results</t>
        </is>
      </c>
    </row>
    <row r="17" ht="20" customHeight="1">
      <c r="A17" s="5" t="inlineStr">
        <is>
          <t>4. Record SCA scan results in SCA_Scan_Results</t>
        </is>
      </c>
    </row>
    <row r="18" ht="20" customHeight="1">
      <c r="A18" s="5" t="inlineStr">
        <is>
          <t>5. Record penetration testing results in Penetration_Testing_Results</t>
        </is>
      </c>
    </row>
    <row r="19" ht="20" customHeight="1">
      <c r="A19" s="5" t="inlineStr">
        <is>
          <t>6. Track security acceptance testing in Security_Acceptance_Testing</t>
        </is>
      </c>
    </row>
    <row r="20" ht="20" customHeight="1">
      <c r="A20" s="5" t="inlineStr">
        <is>
          <t>7. Review Compliance_Summary for overall testing compliance</t>
        </is>
      </c>
    </row>
    <row r="21" ht="20" customHeight="1">
      <c r="A21" s="5" t="inlineStr">
        <is>
          <t>8. Document evidence in Evidence_Register</t>
        </is>
      </c>
    </row>
    <row r="22" ht="20" customHeight="1">
      <c r="A22" s="5" t="inlineStr">
        <is>
          <t>9. Obtain approvals in Approval_Sign_Off</t>
        </is>
      </c>
    </row>
    <row r="24">
      <c r="A24" s="2" t="inlineStr">
        <is>
          <t>Status Legend</t>
        </is>
      </c>
    </row>
    <row r="25">
      <c r="A25" s="6" t="inlineStr">
        <is>
          <t>Symbol</t>
        </is>
      </c>
      <c r="B25" s="6" t="inlineStr">
        <is>
          <t>Status</t>
        </is>
      </c>
      <c r="C25" s="6" t="inlineStr">
        <is>
          <t>Description</t>
        </is>
      </c>
      <c r="D25" s="6" t="inlineStr">
        <is>
          <t>Color</t>
        </is>
      </c>
    </row>
    <row r="26">
      <c r="A26" t="inlineStr">
        <is>
          <t>✅</t>
        </is>
      </c>
      <c r="B26" t="inlineStr">
        <is>
          <t>Passed/Compliant</t>
        </is>
      </c>
      <c r="C26" t="inlineStr">
        <is>
          <t>Testing passed or compliant</t>
        </is>
      </c>
      <c r="D26" s="7" t="inlineStr">
        <is>
          <t>Green</t>
        </is>
      </c>
    </row>
    <row r="27">
      <c r="A27" t="inlineStr">
        <is>
          <t>❌</t>
        </is>
      </c>
      <c r="B27" t="inlineStr">
        <is>
          <t>Failed/Non-Compliant</t>
        </is>
      </c>
      <c r="C27" t="inlineStr">
        <is>
          <t>Testing failed or non-compliant</t>
        </is>
      </c>
      <c r="D27" s="8" t="inlineStr">
        <is>
          <t>Red</t>
        </is>
      </c>
    </row>
    <row r="28">
      <c r="A28" t="inlineStr">
        <is>
          <t>⏳</t>
        </is>
      </c>
      <c r="B28" t="inlineStr">
        <is>
          <t>In Progress/Pending</t>
        </is>
      </c>
      <c r="C28" t="inlineStr">
        <is>
          <t>Testing in progress or pending</t>
        </is>
      </c>
      <c r="D28" s="9" t="inlineStr">
        <is>
          <t>Yellow</t>
        </is>
      </c>
    </row>
    <row r="29">
      <c r="A29" t="inlineStr">
        <is>
          <t>N/A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Gray</t>
        </is>
      </c>
    </row>
  </sheetData>
  <mergeCells count="4">
    <mergeCell ref="A13:F13"/>
    <mergeCell ref="A2:F2"/>
    <mergeCell ref="A1:F1"/>
    <mergeCell ref="A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Security Testing Coverage Overview</t>
        </is>
      </c>
    </row>
    <row r="2">
      <c r="A2" s="2" t="inlineStr">
        <is>
          <t>Track security testing coverage across all testing types per application</t>
        </is>
      </c>
    </row>
    <row r="3">
      <c r="A3" s="6" t="inlineStr">
        <is>
          <t>Application Name</t>
        </is>
      </c>
      <c r="B3" s="6" t="inlineStr">
        <is>
          <t>SAST Enabled?</t>
        </is>
      </c>
      <c r="C3" s="6" t="inlineStr">
        <is>
          <t>Last SAST Scan</t>
        </is>
      </c>
      <c r="D3" s="6" t="inlineStr">
        <is>
          <t>DAST Enabled?</t>
        </is>
      </c>
      <c r="E3" s="6" t="inlineStr">
        <is>
          <t>Last DAST Scan</t>
        </is>
      </c>
      <c r="F3" s="6" t="inlineStr">
        <is>
          <t>SCA Enabled?</t>
        </is>
      </c>
      <c r="G3" s="6" t="inlineStr">
        <is>
          <t>Last SCA Scan</t>
        </is>
      </c>
      <c r="H3" s="6" t="inlineStr">
        <is>
          <t>Pentest Status</t>
        </is>
      </c>
      <c r="I3" s="6" t="inlineStr">
        <is>
          <t>Last Pentest Date</t>
        </is>
      </c>
      <c r="J3" s="6" t="inlineStr">
        <is>
          <t>Coverage Score (%)</t>
        </is>
      </c>
    </row>
    <row r="4">
      <c r="A4" s="10" t="inlineStr">
        <is>
          <t>Customer Portal</t>
        </is>
      </c>
      <c r="B4" s="10" t="inlineStr">
        <is>
          <t>Yes</t>
        </is>
      </c>
      <c r="C4" s="10" t="inlineStr">
        <is>
          <t>2025-01-10</t>
        </is>
      </c>
      <c r="D4" s="10" t="inlineStr">
        <is>
          <t>Yes</t>
        </is>
      </c>
      <c r="E4" s="10" t="inlineStr">
        <is>
          <t>2025-01-08</t>
        </is>
      </c>
      <c r="F4" s="10" t="inlineStr">
        <is>
          <t>Yes</t>
        </is>
      </c>
      <c r="G4" s="10" t="inlineStr">
        <is>
          <t>2025-01-10</t>
        </is>
      </c>
      <c r="H4" s="10" t="inlineStr">
        <is>
          <t>Completed</t>
        </is>
      </c>
      <c r="I4" s="10" t="inlineStr">
        <is>
          <t>2024-11-15</t>
        </is>
      </c>
    </row>
    <row r="5">
      <c r="A5" s="10" t="inlineStr">
        <is>
          <t>Internal HR System</t>
        </is>
      </c>
      <c r="B5" s="10" t="inlineStr">
        <is>
          <t>Yes</t>
        </is>
      </c>
      <c r="C5" s="10" t="inlineStr">
        <is>
          <t>2025-01-09</t>
        </is>
      </c>
      <c r="D5" s="10" t="inlineStr">
        <is>
          <t>No</t>
        </is>
      </c>
      <c r="E5" s="10" t="inlineStr">
        <is>
          <t>N/A</t>
        </is>
      </c>
      <c r="F5" s="10" t="inlineStr">
        <is>
          <t>Yes</t>
        </is>
      </c>
      <c r="G5" s="10" t="inlineStr">
        <is>
          <t>2025-01-09</t>
        </is>
      </c>
      <c r="H5" s="10" t="inlineStr">
        <is>
          <t>Scheduled</t>
        </is>
      </c>
      <c r="I5" s="10" t="inlineStr">
        <is>
          <t>2024-06-20</t>
        </is>
      </c>
    </row>
    <row r="6">
      <c r="A6" s="10" t="inlineStr">
        <is>
          <t>Marketing Website</t>
        </is>
      </c>
      <c r="B6" s="10" t="inlineStr">
        <is>
          <t>Yes</t>
        </is>
      </c>
      <c r="C6" s="10" t="inlineStr">
        <is>
          <t>2025-01-11</t>
        </is>
      </c>
      <c r="D6" s="10" t="inlineStr">
        <is>
          <t>Yes</t>
        </is>
      </c>
      <c r="E6" s="10" t="inlineStr">
        <is>
          <t>2025-01-05</t>
        </is>
      </c>
      <c r="F6" s="10" t="inlineStr">
        <is>
          <t>Yes</t>
        </is>
      </c>
      <c r="G6" s="10" t="inlineStr">
        <is>
          <t>2025-01-11</t>
        </is>
      </c>
      <c r="H6" s="10" t="inlineStr">
        <is>
          <t>Completed</t>
        </is>
      </c>
      <c r="I6" s="10" t="inlineStr">
        <is>
          <t>2024-09-10</t>
        </is>
      </c>
    </row>
  </sheetData>
  <mergeCells count="2">
    <mergeCell ref="A1:J1"/>
    <mergeCell ref="A2:J2"/>
  </mergeCells>
  <dataValidations count="5">
    <dataValidation sqref="B4:B100 D4:D100 F4:F100" showDropDown="0" showInputMessage="0" showErrorMessage="0" allowBlank="0" type="list">
      <formula1>"Yes,No"</formula1>
    </dataValidation>
    <dataValidation sqref="C4:C100" showDropDown="0" showInputMessage="0" showErrorMessage="0" allowBlank="0" type="list">
      <formula1>"Baseline,Full,API,Authenticated"</formula1>
    </dataValidation>
    <dataValidation sqref="C4:C100" showDropDown="0" showInputMessage="0" showErrorMessage="0" allowBlank="0" type="list">
      <formula1>"Internal,External,Both"</formula1>
    </dataValidation>
    <dataValidation sqref="H4:H100" showDropDown="0" showInputMessage="0" showErrorMessage="0" allowBlank="0" type="list">
      <formula1>"✅ Approved,⏳ Pending,❌ Rejected"</formula1>
    </dataValidation>
    <dataValidation sqref="G4:G100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SAST (Static Application Security Testing) Scan Results</t>
        </is>
      </c>
    </row>
    <row r="2">
      <c r="A2" s="2" t="inlineStr">
        <is>
          <t>Track SAST scan findings by severity and remediation status</t>
        </is>
      </c>
    </row>
    <row r="3">
      <c r="A3" s="6" t="inlineStr">
        <is>
          <t>Application Name</t>
        </is>
      </c>
      <c r="B3" s="6" t="inlineStr">
        <is>
          <t>Last Scan Date</t>
        </is>
      </c>
      <c r="C3" s="6" t="inlineStr">
        <is>
          <t>Critical Findings</t>
        </is>
      </c>
      <c r="D3" s="6" t="inlineStr">
        <is>
          <t>High Findings</t>
        </is>
      </c>
      <c r="E3" s="6" t="inlineStr">
        <is>
          <t>Medium Findings</t>
        </is>
      </c>
      <c r="F3" s="6" t="inlineStr">
        <is>
          <t>Low Findings</t>
        </is>
      </c>
      <c r="G3" s="6" t="inlineStr">
        <is>
          <t>Total Findings</t>
        </is>
      </c>
      <c r="H3" s="6" t="inlineStr">
        <is>
          <t>Findings Remediated</t>
        </is>
      </c>
      <c r="I3" s="6" t="inlineStr">
        <is>
          <t>Remediation Rate (%)</t>
        </is>
      </c>
      <c r="J3" s="6" t="inlineStr">
        <is>
          <t>Trend vs. Previous</t>
        </is>
      </c>
    </row>
    <row r="4">
      <c r="A4" s="10" t="inlineStr">
        <is>
          <t>Customer Portal</t>
        </is>
      </c>
      <c r="B4" s="10" t="inlineStr">
        <is>
          <t>2025-01-10</t>
        </is>
      </c>
      <c r="C4" s="10" t="n">
        <v>0</v>
      </c>
      <c r="D4" s="10" t="n">
        <v>2</v>
      </c>
      <c r="E4" s="10" t="n">
        <v>5</v>
      </c>
      <c r="F4" s="10" t="n">
        <v>12</v>
      </c>
    </row>
    <row r="5">
      <c r="A5" s="10" t="inlineStr">
        <is>
          <t>Internal HR System</t>
        </is>
      </c>
      <c r="B5" s="10" t="inlineStr">
        <is>
          <t>2025-01-09</t>
        </is>
      </c>
      <c r="C5" s="10" t="n">
        <v>0</v>
      </c>
      <c r="D5" s="10" t="n">
        <v>3</v>
      </c>
      <c r="E5" s="10" t="n">
        <v>8</v>
      </c>
      <c r="F5" s="10" t="n">
        <v>15</v>
      </c>
    </row>
    <row r="6">
      <c r="A6" s="10" t="inlineStr">
        <is>
          <t>Marketing Website</t>
        </is>
      </c>
      <c r="B6" s="10" t="inlineStr">
        <is>
          <t>2025-01-11</t>
        </is>
      </c>
      <c r="C6" s="10" t="n">
        <v>0</v>
      </c>
      <c r="D6" s="10" t="n">
        <v>1</v>
      </c>
      <c r="E6" s="10" t="n">
        <v>3</v>
      </c>
      <c r="F6" s="10" t="n">
        <v>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DAST (Dynamic Application Security Testing) Scan Results</t>
        </is>
      </c>
    </row>
    <row r="2">
      <c r="A2" s="2" t="inlineStr">
        <is>
          <t>Track DAST scan findings by severity and scan type</t>
        </is>
      </c>
    </row>
    <row r="3">
      <c r="A3" s="6" t="inlineStr">
        <is>
          <t>Application Name</t>
        </is>
      </c>
      <c r="B3" s="6" t="inlineStr">
        <is>
          <t>Last Scan Date</t>
        </is>
      </c>
      <c r="C3" s="6" t="inlineStr">
        <is>
          <t>Scan Type</t>
        </is>
      </c>
      <c r="D3" s="6" t="inlineStr">
        <is>
          <t>Critical Findings</t>
        </is>
      </c>
      <c r="E3" s="6" t="inlineStr">
        <is>
          <t>High Findings</t>
        </is>
      </c>
      <c r="F3" s="6" t="inlineStr">
        <is>
          <t>Medium Findings</t>
        </is>
      </c>
      <c r="G3" s="6" t="inlineStr">
        <is>
          <t>Low Findings</t>
        </is>
      </c>
      <c r="H3" s="6" t="inlineStr">
        <is>
          <t>Total Findings</t>
        </is>
      </c>
      <c r="I3" s="6" t="inlineStr">
        <is>
          <t>Remediation Status</t>
        </is>
      </c>
      <c r="J3" s="6" t="inlineStr">
        <is>
          <t>Next Scan Date</t>
        </is>
      </c>
    </row>
    <row r="4">
      <c r="A4" s="10" t="inlineStr">
        <is>
          <t>Customer Portal</t>
        </is>
      </c>
      <c r="B4" s="10" t="inlineStr">
        <is>
          <t>2025-01-08</t>
        </is>
      </c>
      <c r="C4" s="10" t="inlineStr">
        <is>
          <t>Full</t>
        </is>
      </c>
      <c r="D4" s="10" t="n">
        <v>0</v>
      </c>
      <c r="E4" s="10" t="n">
        <v>1</v>
      </c>
      <c r="F4" s="10" t="n">
        <v>4</v>
      </c>
      <c r="G4" s="10" t="n">
        <v>8</v>
      </c>
      <c r="H4">
        <f>D4+E4+F4+G4</f>
        <v/>
      </c>
      <c r="I4" s="10" t="inlineStr">
        <is>
          <t>2025-02-01</t>
        </is>
      </c>
    </row>
    <row r="5">
      <c r="A5" s="10" t="inlineStr">
        <is>
          <t>Internal HR System</t>
        </is>
      </c>
      <c r="B5" s="10" t="inlineStr">
        <is>
          <t>2024-12-15</t>
        </is>
      </c>
      <c r="C5" s="10" t="inlineStr">
        <is>
          <t>Baseline</t>
        </is>
      </c>
      <c r="D5" s="10" t="n">
        <v>0</v>
      </c>
      <c r="E5" s="10" t="n">
        <v>0</v>
      </c>
      <c r="F5" s="10" t="n">
        <v>2</v>
      </c>
      <c r="G5" s="10" t="n">
        <v>5</v>
      </c>
      <c r="H5">
        <f>D5+E5+F5+G5</f>
        <v/>
      </c>
      <c r="I5" s="10" t="inlineStr">
        <is>
          <t>2025-01-15</t>
        </is>
      </c>
    </row>
    <row r="6">
      <c r="A6" s="10" t="inlineStr">
        <is>
          <t>Marketing Website</t>
        </is>
      </c>
      <c r="B6" s="10" t="inlineStr">
        <is>
          <t>2025-01-05</t>
        </is>
      </c>
      <c r="C6" s="10" t="inlineStr">
        <is>
          <t>Full</t>
        </is>
      </c>
      <c r="D6" s="10" t="n">
        <v>0</v>
      </c>
      <c r="E6" s="10" t="n">
        <v>0</v>
      </c>
      <c r="F6" s="10" t="n">
        <v>3</v>
      </c>
      <c r="G6" s="10" t="n">
        <v>6</v>
      </c>
      <c r="H6">
        <f>D6+E6+F6+G6</f>
        <v/>
      </c>
      <c r="I6" s="10" t="inlineStr">
        <is>
          <t>2025-02-05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SCA (Software Composition Analysis) Scan Results</t>
        </is>
      </c>
    </row>
    <row r="2">
      <c r="A2" s="2" t="inlineStr">
        <is>
          <t>Track vulnerable dependencies and license compliance</t>
        </is>
      </c>
    </row>
    <row r="3">
      <c r="A3" s="6" t="inlineStr">
        <is>
          <t>Application Name</t>
        </is>
      </c>
      <c r="B3" s="6" t="inlineStr">
        <is>
          <t>Last Scan Date</t>
        </is>
      </c>
      <c r="C3" s="6" t="inlineStr">
        <is>
          <t>Critical Vulns</t>
        </is>
      </c>
      <c r="D3" s="6" t="inlineStr">
        <is>
          <t>High Vulns</t>
        </is>
      </c>
      <c r="E3" s="6" t="inlineStr">
        <is>
          <t>Medium Vulns</t>
        </is>
      </c>
      <c r="F3" s="6" t="inlineStr">
        <is>
          <t>Low Vulns</t>
        </is>
      </c>
      <c r="G3" s="6" t="inlineStr">
        <is>
          <t>Total Vulns</t>
        </is>
      </c>
      <c r="H3" s="6" t="inlineStr">
        <is>
          <t>License Issues</t>
        </is>
      </c>
      <c r="I3" s="6" t="inlineStr">
        <is>
          <t>Outdated Deps</t>
        </is>
      </c>
      <c r="J3" s="6" t="inlineStr">
        <is>
          <t>Remediation Status</t>
        </is>
      </c>
    </row>
    <row r="4">
      <c r="A4" s="10" t="inlineStr">
        <is>
          <t>Customer Portal</t>
        </is>
      </c>
      <c r="B4" s="10" t="inlineStr">
        <is>
          <t>2025-01-10</t>
        </is>
      </c>
      <c r="C4" s="10" t="n">
        <v>0</v>
      </c>
      <c r="D4" s="10" t="n">
        <v>1</v>
      </c>
      <c r="E4" s="10" t="n">
        <v>3</v>
      </c>
      <c r="F4" s="10" t="n">
        <v>8</v>
      </c>
      <c r="G4">
        <f>C4+D4+E4+F4</f>
        <v/>
      </c>
      <c r="H4" s="10" t="n">
        <v>5</v>
      </c>
      <c r="I4" s="10" t="inlineStr">
        <is>
          <t>80% Complete</t>
        </is>
      </c>
    </row>
    <row r="5">
      <c r="A5" s="10" t="inlineStr">
        <is>
          <t>Internal HR System</t>
        </is>
      </c>
      <c r="B5" s="10" t="inlineStr">
        <is>
          <t>2025-01-09</t>
        </is>
      </c>
      <c r="C5" s="10" t="n">
        <v>0</v>
      </c>
      <c r="D5" s="10" t="n">
        <v>2</v>
      </c>
      <c r="E5" s="10" t="n">
        <v>5</v>
      </c>
      <c r="F5" s="10" t="n">
        <v>10</v>
      </c>
      <c r="G5">
        <f>C5+D5+E5+F5</f>
        <v/>
      </c>
      <c r="H5" s="10" t="n">
        <v>8</v>
      </c>
      <c r="I5" s="10" t="inlineStr">
        <is>
          <t>60% Complete</t>
        </is>
      </c>
    </row>
    <row r="6">
      <c r="A6" s="10" t="inlineStr">
        <is>
          <t>Marketing Website</t>
        </is>
      </c>
      <c r="B6" s="10" t="inlineStr">
        <is>
          <t>2025-01-11</t>
        </is>
      </c>
      <c r="C6" s="10" t="n">
        <v>0</v>
      </c>
      <c r="D6" s="10" t="n">
        <v>0</v>
      </c>
      <c r="E6" s="10" t="n">
        <v>2</v>
      </c>
      <c r="F6" s="10" t="n">
        <v>6</v>
      </c>
      <c r="G6">
        <f>C6+D6+E6+F6</f>
        <v/>
      </c>
      <c r="H6" s="10" t="n">
        <v>3</v>
      </c>
      <c r="I6" s="10" t="inlineStr">
        <is>
          <t>100% Complete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Penetration Testing Results</t>
        </is>
      </c>
    </row>
    <row r="2">
      <c r="A2" s="2" t="inlineStr">
        <is>
          <t>Track penetration testing findings and remediation</t>
        </is>
      </c>
    </row>
    <row r="3">
      <c r="A3" s="6" t="inlineStr">
        <is>
          <t>Application Name</t>
        </is>
      </c>
      <c r="B3" s="6" t="inlineStr">
        <is>
          <t>Pentest Date</t>
        </is>
      </c>
      <c r="C3" s="6" t="inlineStr">
        <is>
          <t>Pentester</t>
        </is>
      </c>
      <c r="D3" s="6" t="inlineStr">
        <is>
          <t>Critical Findings</t>
        </is>
      </c>
      <c r="E3" s="6" t="inlineStr">
        <is>
          <t>High Findings</t>
        </is>
      </c>
      <c r="F3" s="6" t="inlineStr">
        <is>
          <t>Medium Findings</t>
        </is>
      </c>
      <c r="G3" s="6" t="inlineStr">
        <is>
          <t>Low Findings</t>
        </is>
      </c>
      <c r="H3" s="6" t="inlineStr">
        <is>
          <t>Total Findings</t>
        </is>
      </c>
      <c r="I3" s="6" t="inlineStr">
        <is>
          <t>Retest Date</t>
        </is>
      </c>
      <c r="J3" s="6" t="inlineStr">
        <is>
          <t>Findings Resolved</t>
        </is>
      </c>
      <c r="K3" s="6" t="inlineStr">
        <is>
          <t>Closure Rate (%)</t>
        </is>
      </c>
    </row>
    <row r="4">
      <c r="A4" s="10" t="inlineStr">
        <is>
          <t>Customer Portal</t>
        </is>
      </c>
      <c r="B4" s="10" t="inlineStr">
        <is>
          <t>2024-11-15</t>
        </is>
      </c>
      <c r="C4" s="10" t="inlineStr">
        <is>
          <t>External</t>
        </is>
      </c>
      <c r="D4" s="10" t="n">
        <v>0</v>
      </c>
      <c r="E4" s="10" t="n">
        <v>2</v>
      </c>
      <c r="F4" s="10" t="n">
        <v>5</v>
      </c>
      <c r="G4" s="10" t="n">
        <v>8</v>
      </c>
      <c r="H4">
        <f>D4+E4+F4+G4</f>
        <v/>
      </c>
      <c r="I4" s="10" t="n">
        <v>14</v>
      </c>
    </row>
    <row r="5">
      <c r="A5" s="10" t="inlineStr">
        <is>
          <t>Internal HR System</t>
        </is>
      </c>
      <c r="B5" s="10" t="inlineStr">
        <is>
          <t>2024-06-20</t>
        </is>
      </c>
      <c r="C5" s="10" t="inlineStr">
        <is>
          <t>Internal</t>
        </is>
      </c>
      <c r="D5" s="10" t="n">
        <v>0</v>
      </c>
      <c r="E5" s="10" t="n">
        <v>1</v>
      </c>
      <c r="F5" s="10" t="n">
        <v>3</v>
      </c>
      <c r="G5" s="10" t="n">
        <v>6</v>
      </c>
      <c r="H5">
        <f>D5+E5+F5+G5</f>
        <v/>
      </c>
      <c r="I5" s="10" t="n">
        <v>9</v>
      </c>
    </row>
    <row r="6">
      <c r="A6" s="10" t="inlineStr">
        <is>
          <t>Marketing Website</t>
        </is>
      </c>
      <c r="B6" s="10" t="inlineStr">
        <is>
          <t>2024-09-10</t>
        </is>
      </c>
      <c r="C6" s="10" t="inlineStr">
        <is>
          <t>External</t>
        </is>
      </c>
      <c r="D6" s="10" t="n">
        <v>0</v>
      </c>
      <c r="E6" s="10" t="n">
        <v>1</v>
      </c>
      <c r="F6" s="10" t="n">
        <v>2</v>
      </c>
      <c r="G6" s="10" t="n">
        <v>4</v>
      </c>
      <c r="H6">
        <f>D6+E6+F6+G6</f>
        <v/>
      </c>
      <c r="I6" s="10" t="n">
        <v>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Security Acceptance Testing</t>
        </is>
      </c>
    </row>
    <row r="2">
      <c r="A2" s="2" t="inlineStr">
        <is>
          <t>Track security test case execution and pass rates</t>
        </is>
      </c>
    </row>
    <row r="3">
      <c r="A3" s="6" t="inlineStr">
        <is>
          <t>Application Name</t>
        </is>
      </c>
      <c r="B3" s="6" t="inlineStr">
        <is>
          <t>Release Version</t>
        </is>
      </c>
      <c r="C3" s="6" t="inlineStr">
        <is>
          <t>Test Cases Total</t>
        </is>
      </c>
      <c r="D3" s="6" t="inlineStr">
        <is>
          <t>Test Cases Passed</t>
        </is>
      </c>
      <c r="E3" s="6" t="inlineStr">
        <is>
          <t>Test Cases Failed</t>
        </is>
      </c>
      <c r="F3" s="6" t="inlineStr">
        <is>
          <t>Test Cases N/A</t>
        </is>
      </c>
      <c r="G3" s="6" t="inlineStr">
        <is>
          <t>Pass Rate (%)</t>
        </is>
      </c>
      <c r="H3" s="6" t="inlineStr">
        <is>
          <t>Security Sign-Off</t>
        </is>
      </c>
    </row>
    <row r="4">
      <c r="A4" s="10" t="inlineStr">
        <is>
          <t>Customer Portal</t>
        </is>
      </c>
      <c r="B4" s="10" t="inlineStr">
        <is>
          <t>v2.5.0</t>
        </is>
      </c>
      <c r="C4" s="10" t="n">
        <v>25</v>
      </c>
      <c r="D4" s="10" t="n">
        <v>24</v>
      </c>
      <c r="E4" s="10" t="n">
        <v>1</v>
      </c>
      <c r="F4" s="10" t="n">
        <v>0</v>
      </c>
      <c r="G4" s="11">
        <f>IF(C4&gt;0,D4/C4*100,0)</f>
        <v/>
      </c>
    </row>
    <row r="5">
      <c r="A5" s="10" t="inlineStr">
        <is>
          <t>Internal HR System</t>
        </is>
      </c>
      <c r="B5" s="10" t="inlineStr">
        <is>
          <t>v1.8.2</t>
        </is>
      </c>
      <c r="C5" s="10" t="n">
        <v>18</v>
      </c>
      <c r="D5" s="10" t="n">
        <v>15</v>
      </c>
      <c r="E5" s="10" t="n">
        <v>3</v>
      </c>
      <c r="F5" s="10" t="n">
        <v>0</v>
      </c>
      <c r="G5" s="11">
        <f>IF(C5&gt;0,D5/C5*100,0)</f>
        <v/>
      </c>
    </row>
    <row r="6">
      <c r="A6" s="10" t="inlineStr">
        <is>
          <t>Marketing Website</t>
        </is>
      </c>
      <c r="B6" s="10" t="inlineStr">
        <is>
          <t>v3.1.0</t>
        </is>
      </c>
      <c r="C6" s="10" t="n">
        <v>12</v>
      </c>
      <c r="D6" s="10" t="n">
        <v>12</v>
      </c>
      <c r="E6" s="10" t="n">
        <v>0</v>
      </c>
      <c r="F6" s="10" t="n">
        <v>0</v>
      </c>
      <c r="G6" s="11">
        <f>IF(C6&gt;0,D6/C6*100,0)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A.8.29 Security Testing Compliance Dashboard</t>
        </is>
      </c>
    </row>
    <row r="2">
      <c r="A2" s="2" t="inlineStr">
        <is>
          <t>Overall compliance summary for security testing activities</t>
        </is>
      </c>
    </row>
    <row r="4">
      <c r="A4" s="2" t="inlineStr">
        <is>
          <t>Portfolio Testing Statistics</t>
        </is>
      </c>
    </row>
    <row r="5">
      <c r="A5" s="3" t="inlineStr">
        <is>
          <t>Total Applications:</t>
        </is>
      </c>
      <c r="B5" s="4" t="inlineStr">
        <is>
          <t>[Calculated from data]</t>
        </is>
      </c>
    </row>
    <row r="6">
      <c r="A6" s="3" t="inlineStr">
        <is>
          <t>Applications with SAST:</t>
        </is>
      </c>
      <c r="B6" s="4" t="inlineStr">
        <is>
          <t>[Calculated from data]</t>
        </is>
      </c>
    </row>
    <row r="7">
      <c r="A7" s="3" t="inlineStr">
        <is>
          <t>Applications with DAST:</t>
        </is>
      </c>
      <c r="B7" s="4" t="inlineStr">
        <is>
          <t>[Calculated from data]</t>
        </is>
      </c>
    </row>
    <row r="8">
      <c r="A8" s="3" t="inlineStr">
        <is>
          <t>Applications with SCA:</t>
        </is>
      </c>
      <c r="B8" s="4" t="inlineStr">
        <is>
          <t>[Calculated from data]</t>
        </is>
      </c>
    </row>
    <row r="9">
      <c r="A9" s="3" t="inlineStr">
        <is>
          <t>Penetration Tests Completed (Last 12mo):</t>
        </is>
      </c>
      <c r="B9" s="4" t="inlineStr">
        <is>
          <t>[Calculated from data]</t>
        </is>
      </c>
    </row>
    <row r="10">
      <c r="A10" s="3" t="inlineStr">
        <is>
          <t>Average SAST Remediation Rate:</t>
        </is>
      </c>
      <c r="B10" s="4" t="inlineStr">
        <is>
          <t>[Calculated from data]</t>
        </is>
      </c>
    </row>
    <row r="11">
      <c r="A11" s="3" t="inlineStr">
        <is>
          <t>Overall Testing Compliance Score:</t>
        </is>
      </c>
      <c r="B11" s="4" t="inlineStr">
        <is>
          <t>[Calculated from data]</t>
        </is>
      </c>
    </row>
    <row r="13">
      <c r="A13" s="2" t="inlineStr">
        <is>
          <t>Application-Level Testing Compliance</t>
        </is>
      </c>
    </row>
    <row r="14">
      <c r="A14" s="6" t="inlineStr">
        <is>
          <t>Application Name</t>
        </is>
      </c>
      <c r="B14" s="6" t="inlineStr">
        <is>
          <t>SAST Score</t>
        </is>
      </c>
      <c r="C14" s="6" t="inlineStr">
        <is>
          <t>DAST Score</t>
        </is>
      </c>
      <c r="D14" s="6" t="inlineStr">
        <is>
          <t>SCA Score</t>
        </is>
      </c>
      <c r="E14" s="6" t="inlineStr">
        <is>
          <t>Pentest Score</t>
        </is>
      </c>
      <c r="F14" s="6" t="inlineStr">
        <is>
          <t>Security Acceptance</t>
        </is>
      </c>
      <c r="G14" s="6" t="inlineStr">
        <is>
          <t>Overall Testing Score</t>
        </is>
      </c>
      <c r="H14" s="6" t="inlineStr">
        <is>
          <t>Compliance Status</t>
        </is>
      </c>
    </row>
    <row r="15">
      <c r="A15" t="inlineStr">
        <is>
          <t>Customer Portal</t>
        </is>
      </c>
      <c r="B15" s="11">
        <f>SAST_Scan_Results!I4</f>
        <v/>
      </c>
      <c r="C15" s="12" t="n">
        <v>85</v>
      </c>
      <c r="D15" s="12" t="n">
        <v>85</v>
      </c>
      <c r="E15" s="12" t="n">
        <v>85</v>
      </c>
      <c r="F15" s="11">
        <f>Security_Acceptance_Testing!G4</f>
        <v/>
      </c>
      <c r="G15" s="11">
        <f>(B15*0.25+C15*0.25+D15*0.25+E15*0.15+F15*0.10)</f>
        <v/>
      </c>
      <c r="H15">
        <f>IF(G15&gt;=80,"✅ Compliant",IF(G15&gt;=60,"⚠️ Partial Compliance","❌ Non-Compliant"))</f>
        <v/>
      </c>
    </row>
    <row r="16">
      <c r="A16" t="inlineStr">
        <is>
          <t>Internal HR System</t>
        </is>
      </c>
      <c r="B16" s="11">
        <f>SAST_Scan_Results!I5</f>
        <v/>
      </c>
      <c r="C16" s="12" t="n">
        <v>85</v>
      </c>
      <c r="D16" s="12" t="n">
        <v>85</v>
      </c>
      <c r="E16" s="12" t="n">
        <v>85</v>
      </c>
      <c r="F16" s="11">
        <f>Security_Acceptance_Testing!G5</f>
        <v/>
      </c>
      <c r="G16" s="11">
        <f>(B16*0.25+C16*0.25+D16*0.25+E16*0.15+F16*0.10)</f>
        <v/>
      </c>
      <c r="H16">
        <f>IF(G16&gt;=80,"✅ Compliant",IF(G16&gt;=60,"⚠️ Partial Compliance","❌ Non-Compliant"))</f>
        <v/>
      </c>
    </row>
    <row r="17">
      <c r="A17" t="inlineStr">
        <is>
          <t>Marketing Website</t>
        </is>
      </c>
      <c r="B17" s="11">
        <f>SAST_Scan_Results!I6</f>
        <v/>
      </c>
      <c r="C17" s="12" t="n">
        <v>85</v>
      </c>
      <c r="D17" s="12" t="n">
        <v>85</v>
      </c>
      <c r="E17" s="12" t="n">
        <v>85</v>
      </c>
      <c r="F17" s="11">
        <f>Security_Acceptance_Testing!G6</f>
        <v/>
      </c>
      <c r="G17" s="11">
        <f>(B17*0.25+C17*0.25+D17*0.25+E17*0.15+F17*0.10)</f>
        <v/>
      </c>
      <c r="H17">
        <f>IF(G17&gt;=80,"✅ Compliant",IF(G17&gt;=60,"⚠️ Partial Compliance","❌ Non-Compliant"))</f>
        <v/>
      </c>
    </row>
  </sheetData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45" customWidth="1" min="4" max="4"/>
    <col width="15" customWidth="1" min="5" max="5"/>
    <col width="20" customWidth="1" min="6" max="6"/>
    <col width="15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Centralized register of all security testing evidence</t>
        </is>
      </c>
    </row>
    <row r="3">
      <c r="A3" s="6" t="inlineStr">
        <is>
          <t>Evidence Type</t>
        </is>
      </c>
      <c r="B3" s="6" t="inlineStr">
        <is>
          <t>Application Name</t>
        </is>
      </c>
      <c r="C3" s="6" t="inlineStr">
        <is>
          <t>Document Title/Description</t>
        </is>
      </c>
      <c r="D3" s="6" t="inlineStr">
        <is>
          <t>Document Location/Link</t>
        </is>
      </c>
      <c r="E3" s="6" t="inlineStr">
        <is>
          <t>Last Updated</t>
        </is>
      </c>
      <c r="F3" s="6" t="inlineStr">
        <is>
          <t>Owner</t>
        </is>
      </c>
      <c r="G3" s="6" t="inlineStr">
        <is>
          <t>Status</t>
        </is>
      </c>
    </row>
    <row r="4">
      <c r="A4" s="10" t="inlineStr">
        <is>
          <t>SAST Report</t>
        </is>
      </c>
      <c r="B4" s="10" t="inlineStr">
        <is>
          <t>Customer Portal</t>
        </is>
      </c>
      <c r="C4" s="10" t="inlineStr">
        <is>
          <t>SonarQube Security Report Jan 2025</t>
        </is>
      </c>
      <c r="D4" s="10" t="inlineStr">
        <is>
          <t>/reports/sast/APP-001-202501.pdf</t>
        </is>
      </c>
      <c r="E4" s="10" t="inlineStr">
        <is>
          <t>2025-01-10</t>
        </is>
      </c>
      <c r="F4" s="10" t="inlineStr">
        <is>
          <t>Security Team</t>
        </is>
      </c>
      <c r="G4" s="10" t="inlineStr">
        <is>
          <t>Current</t>
        </is>
      </c>
    </row>
    <row r="5">
      <c r="A5" s="10" t="inlineStr">
        <is>
          <t>DAST Report</t>
        </is>
      </c>
      <c r="B5" s="10" t="inlineStr">
        <is>
          <t>Customer Portal</t>
        </is>
      </c>
      <c r="C5" s="10" t="inlineStr">
        <is>
          <t>OWASP ZAP Full Scan Report</t>
        </is>
      </c>
      <c r="D5" s="10" t="inlineStr">
        <is>
          <t>/reports/dast/APP-001-20250108.html</t>
        </is>
      </c>
      <c r="E5" s="10" t="inlineStr">
        <is>
          <t>2025-01-08</t>
        </is>
      </c>
      <c r="F5" s="10" t="inlineStr">
        <is>
          <t>Security Team</t>
        </is>
      </c>
      <c r="G5" s="10" t="inlineStr">
        <is>
          <t>Current</t>
        </is>
      </c>
    </row>
    <row r="6">
      <c r="A6" s="10" t="inlineStr">
        <is>
          <t>SCA Report</t>
        </is>
      </c>
      <c r="B6" s="10" t="inlineStr">
        <is>
          <t>Customer Portal</t>
        </is>
      </c>
      <c r="C6" s="10" t="inlineStr">
        <is>
          <t>Snyk Vulnerability Report</t>
        </is>
      </c>
      <c r="D6" s="10" t="inlineStr">
        <is>
          <t>https://app.snyk.io/org/myorg/project/...</t>
        </is>
      </c>
      <c r="E6" s="10" t="inlineStr">
        <is>
          <t>2025-01-10</t>
        </is>
      </c>
      <c r="F6" s="10" t="inlineStr">
        <is>
          <t>Dev Team</t>
        </is>
      </c>
      <c r="G6" s="10" t="inlineStr">
        <is>
          <t>Current</t>
        </is>
      </c>
    </row>
    <row r="7">
      <c r="A7" s="10" t="inlineStr">
        <is>
          <t>Pentest Report</t>
        </is>
      </c>
      <c r="B7" s="10" t="inlineStr">
        <is>
          <t>Customer Portal</t>
        </is>
      </c>
      <c r="C7" s="10" t="inlineStr">
        <is>
          <t>External Pentest Report Q4 2024</t>
        </is>
      </c>
      <c r="D7" s="10" t="inlineStr">
        <is>
          <t>/reports/pentest/APP-001-2024Q4.pdf</t>
        </is>
      </c>
      <c r="E7" s="10" t="inlineStr">
        <is>
          <t>2024-11-20</t>
        </is>
      </c>
      <c r="F7" s="10" t="inlineStr">
        <is>
          <t>Security Team</t>
        </is>
      </c>
      <c r="G7" s="10" t="inlineStr">
        <is>
          <t>Current</t>
        </is>
      </c>
    </row>
    <row r="8">
      <c r="A8" s="10" t="inlineStr">
        <is>
          <t>Security Test Cases</t>
        </is>
      </c>
      <c r="B8" s="10" t="inlineStr">
        <is>
          <t>All Apps</t>
        </is>
      </c>
      <c r="C8" s="10" t="inlineStr">
        <is>
          <t>Security Acceptance Test Suite</t>
        </is>
      </c>
      <c r="D8" s="10" t="inlineStr">
        <is>
          <t>/tests/security-acceptance/</t>
        </is>
      </c>
      <c r="E8" s="10" t="inlineStr">
        <is>
          <t>2024-12-15</t>
        </is>
      </c>
      <c r="F8" s="10" t="inlineStr">
        <is>
          <t>QA Team</t>
        </is>
      </c>
      <c r="G8" s="10" t="inlineStr">
        <is>
          <t>Current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5" customWidth="1" min="4" max="4"/>
    <col width="40" customWidth="1" min="5" max="5"/>
  </cols>
  <sheetData>
    <row r="1" ht="40" customHeight="1">
      <c r="A1" s="1" t="inlineStr">
        <is>
          <t>Assessment Approval and Sign-Off</t>
        </is>
      </c>
    </row>
    <row r="3">
      <c r="A3" s="2" t="inlineStr">
        <is>
          <t>Assessment Information</t>
        </is>
      </c>
    </row>
    <row r="4">
      <c r="A4" s="3" t="inlineStr">
        <is>
          <t>Assessment Date:</t>
        </is>
      </c>
      <c r="B4" s="4" t="inlineStr">
        <is>
          <t>[USER INPUT]</t>
        </is>
      </c>
    </row>
    <row r="5">
      <c r="A5" s="3" t="inlineStr">
        <is>
          <t>Assessed By:</t>
        </is>
      </c>
      <c r="B5" s="4" t="inlineStr">
        <is>
          <t>[USER INPUT]</t>
        </is>
      </c>
    </row>
    <row r="6">
      <c r="A6" s="3" t="inlineStr">
        <is>
          <t>Organization:</t>
        </is>
      </c>
      <c r="B6" s="4" t="inlineStr">
        <is>
          <t>[USER INPUT]</t>
        </is>
      </c>
    </row>
    <row r="7">
      <c r="A7" s="3" t="inlineStr">
        <is>
          <t>Assessment Period:</t>
        </is>
      </c>
      <c r="B7" t="inlineStr">
        <is>
          <t>[USER INPUT - e.g., Q1 2025]</t>
        </is>
      </c>
    </row>
    <row r="8">
      <c r="A8" s="3" t="inlineStr">
        <is>
          <t>Total Applications Assessed:</t>
        </is>
      </c>
      <c r="B8" s="4" t="inlineStr">
        <is>
          <t>[Auto-calculated or USER INPUT]</t>
        </is>
      </c>
    </row>
    <row r="11">
      <c r="A11" s="2" t="inlineStr">
        <is>
          <t>Approval Sign-Off</t>
        </is>
      </c>
    </row>
    <row r="12">
      <c r="A12" s="6" t="inlineStr">
        <is>
          <t>Approver Name</t>
        </is>
      </c>
      <c r="B12" s="6" t="inlineStr">
        <is>
          <t>Role/Title</t>
        </is>
      </c>
      <c r="C12" s="6" t="inlineStr">
        <is>
          <t>Date</t>
        </is>
      </c>
      <c r="D12" s="6" t="inlineStr">
        <is>
          <t>Signature</t>
        </is>
      </c>
      <c r="E12" s="6" t="inlineStr">
        <is>
          <t>Comments</t>
        </is>
      </c>
    </row>
    <row r="13">
      <c r="A13" s="4" t="inlineStr">
        <is>
          <t>[Name]</t>
        </is>
      </c>
      <c r="B13" t="inlineStr">
        <is>
          <t>Security Team Lead</t>
        </is>
      </c>
      <c r="C13" s="4" t="inlineStr">
        <is>
          <t>[Date]</t>
        </is>
      </c>
      <c r="D13" s="4" t="inlineStr">
        <is>
          <t>[Signature/Initials]</t>
        </is>
      </c>
      <c r="E13" s="4" t="inlineStr"/>
    </row>
    <row r="14">
      <c r="A14" s="4" t="inlineStr">
        <is>
          <t>[Name]</t>
        </is>
      </c>
      <c r="B14" t="inlineStr">
        <is>
          <t>QA Manager</t>
        </is>
      </c>
      <c r="C14" s="4" t="inlineStr">
        <is>
          <t>[Date]</t>
        </is>
      </c>
      <c r="D14" s="4" t="inlineStr">
        <is>
          <t>[Signature/Initials]</t>
        </is>
      </c>
      <c r="E14" s="4" t="inlineStr"/>
    </row>
    <row r="15">
      <c r="A15" s="4" t="inlineStr">
        <is>
          <t>[Name]</t>
        </is>
      </c>
      <c r="B15" t="inlineStr">
        <is>
          <t>Development Manager</t>
        </is>
      </c>
      <c r="C15" s="4" t="inlineStr">
        <is>
          <t>[Date]</t>
        </is>
      </c>
      <c r="D15" s="4" t="inlineStr">
        <is>
          <t>[Signature/Initials]</t>
        </is>
      </c>
      <c r="E15" s="4" t="inlineStr"/>
    </row>
    <row r="16">
      <c r="A16" s="4" t="inlineStr">
        <is>
          <t>[Name]</t>
        </is>
      </c>
      <c r="B16" t="inlineStr">
        <is>
          <t>CISO / Security Leadership</t>
        </is>
      </c>
      <c r="C16" s="4" t="inlineStr">
        <is>
          <t>[Date]</t>
        </is>
      </c>
      <c r="D16" s="4" t="inlineStr">
        <is>
          <t>[Signature/Initials]</t>
        </is>
      </c>
      <c r="E16" s="4" t="inlineStr"/>
    </row>
    <row r="19">
      <c r="A19" s="2" t="inlineStr">
        <is>
          <t>Overall Compliance Determination</t>
        </is>
      </c>
    </row>
    <row r="20">
      <c r="A20" s="3" t="inlineStr">
        <is>
          <t>Overall Testing Compliance Status:</t>
        </is>
      </c>
      <c r="B20" s="4" t="inlineStr">
        <is>
          <t>[✅ Compliant / ⚠️ Partial Compliance / ❌ Non-Compliant]</t>
        </is>
      </c>
    </row>
    <row r="21">
      <c r="A21" s="3" t="inlineStr">
        <is>
          <t>Overall Testing Score:</t>
        </is>
      </c>
      <c r="B21" s="4" t="inlineStr">
        <is>
          <t>[X%]</t>
        </is>
      </c>
    </row>
  </sheetData>
  <mergeCells count="4">
    <mergeCell ref="A11:E11"/>
    <mergeCell ref="A19:E19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2026-01-31T02:18:34Z</dcterms:created>
  <dcterms:modified xmlns:dcterms="http://purl.org/dc/terms/" xmlns:xsi="http://www.w3.org/2001/XMLSchema-instance" xsi:type="dcterms:W3CDTF">2026-01-31T02:18:34Z</dcterms:modified>
</cp:coreProperties>
</file>