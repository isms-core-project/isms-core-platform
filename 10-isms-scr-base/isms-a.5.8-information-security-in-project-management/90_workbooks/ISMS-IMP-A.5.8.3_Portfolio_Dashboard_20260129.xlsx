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Project Data" sheetId="2" state="visible" r:id="rId2"/>
    <sheet xmlns:r="http://schemas.openxmlformats.org/officeDocument/2006/relationships" name="Executive Summary" sheetId="3" state="visible" r:id="rId3"/>
    <sheet xmlns:r="http://schemas.openxmlformats.org/officeDocument/2006/relationships" name="Project Status" sheetId="4" state="visible" r:id="rId4"/>
    <sheet xmlns:r="http://schemas.openxmlformats.org/officeDocument/2006/relationships" name="Gap Analysis" sheetId="5" state="visible" r:id="rId5"/>
    <sheet xmlns:r="http://schemas.openxmlformats.org/officeDocument/2006/relationships" name="Trend Analysis" sheetId="6" state="visible" r:id="rId6"/>
    <sheet xmlns:r="http://schemas.openxmlformats.org/officeDocument/2006/relationships" name="Risk Prioritization" sheetId="7" state="visible" r:id="rId7"/>
    <sheet xmlns:r="http://schemas.openxmlformats.org/officeDocument/2006/relationships" name="Lessons Learned" sheetId="8" state="visible" r:id="rId8"/>
    <sheet xmlns:r="http://schemas.openxmlformats.org/officeDocument/2006/relationships" name="Regulatory Compliance" sheetId="9" state="visible" r:id="rId9"/>
    <sheet xmlns:r="http://schemas.openxmlformats.org/officeDocument/2006/relationships" name="Resources &amp; Budget" sheetId="10" state="visible" r:id="rId10"/>
    <sheet xmlns:r="http://schemas.openxmlformats.org/officeDocument/2006/relationships" name="Charts" sheetId="11" state="visible" r:id="rId11"/>
  </sheets>
  <definedNames/>
  <calcPr calcId="124519" fullCalcOnLoad="1"/>
</workbook>
</file>

<file path=xl/styles.xml><?xml version="1.0" encoding="utf-8"?>
<styleSheet xmlns="http://schemas.openxmlformats.org/spreadsheetml/2006/main">
  <numFmts count="2">
    <numFmt numFmtId="164" formatCode="DD.MM.YYYY"/>
    <numFmt numFmtId="165" formatCode="0.0"/>
  </numFmts>
  <fonts count="7">
    <font>
      <name val="Calibri"/>
      <family val="2"/>
      <color theme="1"/>
      <sz val="11"/>
      <scheme val="minor"/>
    </font>
    <font>
      <name val="Calibri"/>
      <b val="1"/>
      <color rgb="00FFFFFF"/>
      <sz val="16"/>
    </font>
    <font>
      <name val="Calibri"/>
      <b val="1"/>
      <color rgb="00FFFFFF"/>
      <sz val="14"/>
    </font>
    <font>
      <name val="Calibri"/>
      <b val="1"/>
      <sz val="11"/>
    </font>
    <font>
      <b val="1"/>
      <sz val="12"/>
    </font>
    <font>
      <b val="1"/>
      <sz val="14"/>
    </font>
    <font>
      <b val="1"/>
    </font>
  </fonts>
  <fills count="7">
    <fill>
      <patternFill/>
    </fill>
    <fill>
      <patternFill patternType="gray125"/>
    </fill>
    <fill>
      <patternFill patternType="solid">
        <fgColor rgb="00003366"/>
        <bgColor rgb="00003366"/>
      </patternFill>
    </fill>
    <fill>
      <patternFill patternType="solid">
        <fgColor rgb="00305496"/>
        <bgColor rgb="00305496"/>
      </patternFill>
    </fill>
    <fill>
      <patternFill patternType="solid">
        <fgColor rgb="00B4C7E7"/>
        <bgColor rgb="00B4C7E7"/>
      </patternFill>
    </fill>
    <fill>
      <patternFill patternType="solid">
        <fgColor rgb="00FFEB9C"/>
        <bgColor rgb="00FFEB9C"/>
      </patternFill>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wrapText="1"/>
    </xf>
    <xf numFmtId="0" fontId="2" fillId="3" borderId="0" pivotButton="0" quotePrefix="0" xfId="0"/>
    <xf numFmtId="0" fontId="0" fillId="0" borderId="0" applyAlignment="1" pivotButton="0" quotePrefix="0" xfId="0">
      <alignment wrapText="1"/>
    </xf>
    <xf numFmtId="0" fontId="3" fillId="4" borderId="1" applyAlignment="1" pivotButton="0" quotePrefix="0" xfId="0">
      <alignment horizontal="center" vertical="center" wrapText="1"/>
    </xf>
    <xf numFmtId="0" fontId="0" fillId="5" borderId="1" pivotButton="0" quotePrefix="0" xfId="0"/>
    <xf numFmtId="9" fontId="0" fillId="5" borderId="1" pivotButton="0" quotePrefix="0" xfId="0"/>
    <xf numFmtId="164" fontId="0" fillId="5" borderId="1" pivotButton="0" quotePrefix="0" xfId="0"/>
    <xf numFmtId="0" fontId="4" fillId="0" borderId="0" pivotButton="0" quotePrefix="0" xfId="0"/>
    <xf numFmtId="9" fontId="5" fillId="6" borderId="0" pivotButton="0" quotePrefix="0" xfId="0"/>
    <xf numFmtId="0" fontId="6" fillId="0" borderId="0" pivotButton="0" quotePrefix="0" xfId="0"/>
    <xf numFmtId="0" fontId="5" fillId="0" borderId="0" pivotButton="0" quotePrefix="0" xfId="0"/>
    <xf numFmtId="0" fontId="3" fillId="4" borderId="0" pivotButton="0" quotePrefix="0" xfId="0"/>
    <xf numFmtId="9" fontId="0" fillId="0" borderId="0" pivotButton="0" quotePrefix="0" xfId="0"/>
    <xf numFmtId="3" fontId="0" fillId="5" borderId="1" pivotButton="0" quotePrefix="0" xfId="0"/>
    <xf numFmtId="165" fontId="0"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80" customWidth="1" min="1" max="1"/>
  </cols>
  <sheetData>
    <row r="1" ht="40" customHeight="1">
      <c r="A1" s="1" t="inlineStr">
        <is>
          <t>ISMS-IMP-A.5.8.3 - Project Portfolio Dashboard\nISO/IEC 27001:2022 Control A.5.8</t>
        </is>
      </c>
    </row>
    <row r="3">
      <c r="A3" s="2" t="inlineStr">
        <is>
          <t>PURPOSE</t>
        </is>
      </c>
    </row>
    <row r="5">
      <c r="A5" s="3" t="inlineStr">
        <is>
          <t>Portfolio-wide security visibility dashboard consolidating status across all projects.\n\nDATA SOURCES:\n• Primary: ISMS-IMP-A.5.8.1 workbooks from all active projects\n• Collection: Manual extraction OR automated (consolidate_a58_dashboard.py)\n\nKEY METRICS:\n• Portfolio Compliance Score: Weighted average (High×3, Medium×2, Low×1)\n• Portfolio Health: 🟢 ≥85% + 0 critical gaps | 🟡 70-84% or 1-3 critical | 🔴 &lt;70% or &gt;3 critical\n• Priority Classification: P1 Critical → P2 High → P3 Medium → P4 Low\n\nUPDATE FREQUENCY: Quarterly or after major milestones</t>
        </is>
      </c>
    </row>
    <row r="6"/>
    <row r="7"/>
    <row r="8"/>
    <row r="9"/>
    <row r="10"/>
    <row r="12">
      <c r="A12" s="2" t="inlineStr">
        <is>
          <t>INSTRUCTIONS</t>
        </is>
      </c>
    </row>
    <row r="13">
      <c r="A13" s="3" t="inlineStr">
        <is>
          <t>1. Extract data from A.5.8.1 workbooks → populate Project Data sheet</t>
        </is>
      </c>
    </row>
    <row r="14">
      <c r="A14" s="3" t="inlineStr">
        <is>
          <t>2. OR: Use consolidate_a58_dashboard.py for automated extraction</t>
        </is>
      </c>
    </row>
    <row r="15">
      <c r="A15" s="3" t="inlineStr">
        <is>
          <t>3. Review Executive Summary for portfolio health status</t>
        </is>
      </c>
    </row>
    <row r="16">
      <c r="A16" s="3" t="inlineStr">
        <is>
          <t>4. Review Gap Analysis for common security gaps</t>
        </is>
      </c>
    </row>
    <row r="17">
      <c r="A17" s="3" t="inlineStr">
        <is>
          <t>5. Track trends quarter-over-quarter</t>
        </is>
      </c>
    </row>
    <row r="18">
      <c r="A18" s="3" t="inlineStr">
        <is>
          <t>6. Update quarterly or after major project milestones</t>
        </is>
      </c>
    </row>
  </sheetData>
  <mergeCells count="2">
    <mergeCell ref="A5:F10"/>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3"/>
  <sheetViews>
    <sheetView workbookViewId="0">
      <pane ySplit="3" topLeftCell="A4" activePane="bottomLeft" state="frozen"/>
      <selection pane="bottomLeft" activeCell="A1" sqref="A1"/>
    </sheetView>
  </sheetViews>
  <sheetFormatPr baseColWidth="8" defaultRowHeight="15"/>
  <cols>
    <col width="25" customWidth="1" min="1" max="1"/>
    <col width="12" customWidth="1" min="2" max="2"/>
    <col width="20" customWidth="1" min="3" max="3"/>
    <col width="20" customWidth="1" min="4" max="4"/>
    <col width="15" customWidth="1" min="5" max="5"/>
    <col width="12"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2" customWidth="1" min="14" max="14"/>
    <col width="12" customWidth="1" min="15" max="15"/>
    <col width="30" customWidth="1" min="16" max="16"/>
  </cols>
  <sheetData>
    <row r="1" ht="40" customHeight="1">
      <c r="A1" s="1" t="inlineStr">
        <is>
          <t>PROJECT DATA TABLE\nManual Entry from A.5.8.1 Workbooks OR Automated Extraction</t>
        </is>
      </c>
    </row>
    <row r="3">
      <c r="A3" s="4" t="inlineStr">
        <is>
          <t>Project Name</t>
        </is>
      </c>
      <c r="B3" s="4" t="inlineStr">
        <is>
          <t>Classification</t>
        </is>
      </c>
      <c r="C3" s="4" t="inlineStr">
        <is>
          <t>PM</t>
        </is>
      </c>
      <c r="D3" s="4" t="inlineStr">
        <is>
          <t>Business Owner</t>
        </is>
      </c>
      <c r="E3" s="4" t="inlineStr">
        <is>
          <t>Phase</t>
        </is>
      </c>
      <c r="F3" s="4" t="inlineStr">
        <is>
          <t>Compliance %</t>
        </is>
      </c>
      <c r="G3" s="4" t="inlineStr">
        <is>
          <t>Initiation %</t>
        </is>
      </c>
      <c r="H3" s="4" t="inlineStr">
        <is>
          <t>Planning %</t>
        </is>
      </c>
      <c r="I3" s="4" t="inlineStr">
        <is>
          <t>Execution %</t>
        </is>
      </c>
      <c r="J3" s="4" t="inlineStr">
        <is>
          <t>Monitoring %</t>
        </is>
      </c>
      <c r="K3" s="4" t="inlineStr">
        <is>
          <t>Closure %</t>
        </is>
      </c>
      <c r="L3" s="4" t="inlineStr">
        <is>
          <t>Critical Gaps</t>
        </is>
      </c>
      <c r="M3" s="4" t="inlineStr">
        <is>
          <t>High Findings</t>
        </is>
      </c>
      <c r="N3" s="4" t="inlineStr">
        <is>
          <t>Deploy Date</t>
        </is>
      </c>
      <c r="O3" s="4" t="inlineStr">
        <is>
          <t>Last Assessment</t>
        </is>
      </c>
      <c r="P3" s="4" t="inlineStr">
        <is>
          <t>Notes</t>
        </is>
      </c>
    </row>
    <row r="4">
      <c r="A4" s="5" t="n"/>
      <c r="B4" s="5" t="n"/>
      <c r="C4" s="5" t="n"/>
      <c r="D4" s="5" t="n"/>
      <c r="E4" s="5" t="n"/>
      <c r="F4" s="6" t="n"/>
      <c r="G4" s="6" t="n"/>
      <c r="H4" s="6" t="n"/>
      <c r="I4" s="6" t="n"/>
      <c r="J4" s="6" t="n"/>
      <c r="K4" s="6" t="n"/>
      <c r="L4" s="5" t="n"/>
      <c r="M4" s="5" t="n"/>
      <c r="N4" s="7" t="n"/>
      <c r="O4" s="7" t="n"/>
      <c r="P4" s="5" t="n"/>
    </row>
    <row r="5">
      <c r="A5" s="5" t="n"/>
      <c r="B5" s="5" t="n"/>
      <c r="C5" s="5" t="n"/>
      <c r="D5" s="5" t="n"/>
      <c r="E5" s="5" t="n"/>
      <c r="F5" s="6" t="n"/>
      <c r="G5" s="6" t="n"/>
      <c r="H5" s="6" t="n"/>
      <c r="I5" s="6" t="n"/>
      <c r="J5" s="6" t="n"/>
      <c r="K5" s="6" t="n"/>
      <c r="L5" s="5" t="n"/>
      <c r="M5" s="5" t="n"/>
      <c r="N5" s="7" t="n"/>
      <c r="O5" s="7" t="n"/>
      <c r="P5" s="5" t="n"/>
    </row>
    <row r="6">
      <c r="A6" s="5" t="n"/>
      <c r="B6" s="5" t="n"/>
      <c r="C6" s="5" t="n"/>
      <c r="D6" s="5" t="n"/>
      <c r="E6" s="5" t="n"/>
      <c r="F6" s="6" t="n"/>
      <c r="G6" s="6" t="n"/>
      <c r="H6" s="6" t="n"/>
      <c r="I6" s="6" t="n"/>
      <c r="J6" s="6" t="n"/>
      <c r="K6" s="6" t="n"/>
      <c r="L6" s="5" t="n"/>
      <c r="M6" s="5" t="n"/>
      <c r="N6" s="7" t="n"/>
      <c r="O6" s="7" t="n"/>
      <c r="P6" s="5" t="n"/>
    </row>
    <row r="7">
      <c r="A7" s="5" t="n"/>
      <c r="B7" s="5" t="n"/>
      <c r="C7" s="5" t="n"/>
      <c r="D7" s="5" t="n"/>
      <c r="E7" s="5" t="n"/>
      <c r="F7" s="6" t="n"/>
      <c r="G7" s="6" t="n"/>
      <c r="H7" s="6" t="n"/>
      <c r="I7" s="6" t="n"/>
      <c r="J7" s="6" t="n"/>
      <c r="K7" s="6" t="n"/>
      <c r="L7" s="5" t="n"/>
      <c r="M7" s="5" t="n"/>
      <c r="N7" s="7" t="n"/>
      <c r="O7" s="7" t="n"/>
      <c r="P7" s="5" t="n"/>
    </row>
    <row r="8">
      <c r="A8" s="5" t="n"/>
      <c r="B8" s="5" t="n"/>
      <c r="C8" s="5" t="n"/>
      <c r="D8" s="5" t="n"/>
      <c r="E8" s="5" t="n"/>
      <c r="F8" s="6" t="n"/>
      <c r="G8" s="6" t="n"/>
      <c r="H8" s="6" t="n"/>
      <c r="I8" s="6" t="n"/>
      <c r="J8" s="6" t="n"/>
      <c r="K8" s="6" t="n"/>
      <c r="L8" s="5" t="n"/>
      <c r="M8" s="5" t="n"/>
      <c r="N8" s="7" t="n"/>
      <c r="O8" s="7" t="n"/>
      <c r="P8" s="5" t="n"/>
    </row>
    <row r="9">
      <c r="A9" s="5" t="n"/>
      <c r="B9" s="5" t="n"/>
      <c r="C9" s="5" t="n"/>
      <c r="D9" s="5" t="n"/>
      <c r="E9" s="5" t="n"/>
      <c r="F9" s="6" t="n"/>
      <c r="G9" s="6" t="n"/>
      <c r="H9" s="6" t="n"/>
      <c r="I9" s="6" t="n"/>
      <c r="J9" s="6" t="n"/>
      <c r="K9" s="6" t="n"/>
      <c r="L9" s="5" t="n"/>
      <c r="M9" s="5" t="n"/>
      <c r="N9" s="7" t="n"/>
      <c r="O9" s="7" t="n"/>
      <c r="P9" s="5" t="n"/>
    </row>
    <row r="10">
      <c r="A10" s="5" t="n"/>
      <c r="B10" s="5" t="n"/>
      <c r="C10" s="5" t="n"/>
      <c r="D10" s="5" t="n"/>
      <c r="E10" s="5" t="n"/>
      <c r="F10" s="6" t="n"/>
      <c r="G10" s="6" t="n"/>
      <c r="H10" s="6" t="n"/>
      <c r="I10" s="6" t="n"/>
      <c r="J10" s="6" t="n"/>
      <c r="K10" s="6" t="n"/>
      <c r="L10" s="5" t="n"/>
      <c r="M10" s="5" t="n"/>
      <c r="N10" s="7" t="n"/>
      <c r="O10" s="7" t="n"/>
      <c r="P10" s="5" t="n"/>
    </row>
    <row r="11">
      <c r="A11" s="5" t="n"/>
      <c r="B11" s="5" t="n"/>
      <c r="C11" s="5" t="n"/>
      <c r="D11" s="5" t="n"/>
      <c r="E11" s="5" t="n"/>
      <c r="F11" s="6" t="n"/>
      <c r="G11" s="6" t="n"/>
      <c r="H11" s="6" t="n"/>
      <c r="I11" s="6" t="n"/>
      <c r="J11" s="6" t="n"/>
      <c r="K11" s="6" t="n"/>
      <c r="L11" s="5" t="n"/>
      <c r="M11" s="5" t="n"/>
      <c r="N11" s="7" t="n"/>
      <c r="O11" s="7" t="n"/>
      <c r="P11" s="5" t="n"/>
    </row>
    <row r="12">
      <c r="A12" s="5" t="n"/>
      <c r="B12" s="5" t="n"/>
      <c r="C12" s="5" t="n"/>
      <c r="D12" s="5" t="n"/>
      <c r="E12" s="5" t="n"/>
      <c r="F12" s="6" t="n"/>
      <c r="G12" s="6" t="n"/>
      <c r="H12" s="6" t="n"/>
      <c r="I12" s="6" t="n"/>
      <c r="J12" s="6" t="n"/>
      <c r="K12" s="6" t="n"/>
      <c r="L12" s="5" t="n"/>
      <c r="M12" s="5" t="n"/>
      <c r="N12" s="7" t="n"/>
      <c r="O12" s="7" t="n"/>
      <c r="P12" s="5" t="n"/>
    </row>
    <row r="13">
      <c r="A13" s="5" t="n"/>
      <c r="B13" s="5" t="n"/>
      <c r="C13" s="5" t="n"/>
      <c r="D13" s="5" t="n"/>
      <c r="E13" s="5" t="n"/>
      <c r="F13" s="6" t="n"/>
      <c r="G13" s="6" t="n"/>
      <c r="H13" s="6" t="n"/>
      <c r="I13" s="6" t="n"/>
      <c r="J13" s="6" t="n"/>
      <c r="K13" s="6" t="n"/>
      <c r="L13" s="5" t="n"/>
      <c r="M13" s="5" t="n"/>
      <c r="N13" s="7" t="n"/>
      <c r="O13" s="7" t="n"/>
      <c r="P13" s="5" t="n"/>
    </row>
    <row r="14">
      <c r="A14" s="5" t="n"/>
      <c r="B14" s="5" t="n"/>
      <c r="C14" s="5" t="n"/>
      <c r="D14" s="5" t="n"/>
      <c r="E14" s="5" t="n"/>
      <c r="F14" s="6" t="n"/>
      <c r="G14" s="6" t="n"/>
      <c r="H14" s="6" t="n"/>
      <c r="I14" s="6" t="n"/>
      <c r="J14" s="6" t="n"/>
      <c r="K14" s="6" t="n"/>
      <c r="L14" s="5" t="n"/>
      <c r="M14" s="5" t="n"/>
      <c r="N14" s="7" t="n"/>
      <c r="O14" s="7" t="n"/>
      <c r="P14" s="5" t="n"/>
    </row>
    <row r="15">
      <c r="A15" s="5" t="n"/>
      <c r="B15" s="5" t="n"/>
      <c r="C15" s="5" t="n"/>
      <c r="D15" s="5" t="n"/>
      <c r="E15" s="5" t="n"/>
      <c r="F15" s="6" t="n"/>
      <c r="G15" s="6" t="n"/>
      <c r="H15" s="6" t="n"/>
      <c r="I15" s="6" t="n"/>
      <c r="J15" s="6" t="n"/>
      <c r="K15" s="6" t="n"/>
      <c r="L15" s="5" t="n"/>
      <c r="M15" s="5" t="n"/>
      <c r="N15" s="7" t="n"/>
      <c r="O15" s="7" t="n"/>
      <c r="P15" s="5" t="n"/>
    </row>
    <row r="16">
      <c r="A16" s="5" t="n"/>
      <c r="B16" s="5" t="n"/>
      <c r="C16" s="5" t="n"/>
      <c r="D16" s="5" t="n"/>
      <c r="E16" s="5" t="n"/>
      <c r="F16" s="6" t="n"/>
      <c r="G16" s="6" t="n"/>
      <c r="H16" s="6" t="n"/>
      <c r="I16" s="6" t="n"/>
      <c r="J16" s="6" t="n"/>
      <c r="K16" s="6" t="n"/>
      <c r="L16" s="5" t="n"/>
      <c r="M16" s="5" t="n"/>
      <c r="N16" s="7" t="n"/>
      <c r="O16" s="7" t="n"/>
      <c r="P16" s="5" t="n"/>
    </row>
    <row r="17">
      <c r="A17" s="5" t="n"/>
      <c r="B17" s="5" t="n"/>
      <c r="C17" s="5" t="n"/>
      <c r="D17" s="5" t="n"/>
      <c r="E17" s="5" t="n"/>
      <c r="F17" s="6" t="n"/>
      <c r="G17" s="6" t="n"/>
      <c r="H17" s="6" t="n"/>
      <c r="I17" s="6" t="n"/>
      <c r="J17" s="6" t="n"/>
      <c r="K17" s="6" t="n"/>
      <c r="L17" s="5" t="n"/>
      <c r="M17" s="5" t="n"/>
      <c r="N17" s="7" t="n"/>
      <c r="O17" s="7" t="n"/>
      <c r="P17" s="5" t="n"/>
    </row>
    <row r="18">
      <c r="A18" s="5" t="n"/>
      <c r="B18" s="5" t="n"/>
      <c r="C18" s="5" t="n"/>
      <c r="D18" s="5" t="n"/>
      <c r="E18" s="5" t="n"/>
      <c r="F18" s="6" t="n"/>
      <c r="G18" s="6" t="n"/>
      <c r="H18" s="6" t="n"/>
      <c r="I18" s="6" t="n"/>
      <c r="J18" s="6" t="n"/>
      <c r="K18" s="6" t="n"/>
      <c r="L18" s="5" t="n"/>
      <c r="M18" s="5" t="n"/>
      <c r="N18" s="7" t="n"/>
      <c r="O18" s="7" t="n"/>
      <c r="P18" s="5" t="n"/>
    </row>
    <row r="19">
      <c r="A19" s="5" t="n"/>
      <c r="B19" s="5" t="n"/>
      <c r="C19" s="5" t="n"/>
      <c r="D19" s="5" t="n"/>
      <c r="E19" s="5" t="n"/>
      <c r="F19" s="6" t="n"/>
      <c r="G19" s="6" t="n"/>
      <c r="H19" s="6" t="n"/>
      <c r="I19" s="6" t="n"/>
      <c r="J19" s="6" t="n"/>
      <c r="K19" s="6" t="n"/>
      <c r="L19" s="5" t="n"/>
      <c r="M19" s="5" t="n"/>
      <c r="N19" s="7" t="n"/>
      <c r="O19" s="7" t="n"/>
      <c r="P19" s="5" t="n"/>
    </row>
    <row r="20">
      <c r="A20" s="5" t="n"/>
      <c r="B20" s="5" t="n"/>
      <c r="C20" s="5" t="n"/>
      <c r="D20" s="5" t="n"/>
      <c r="E20" s="5" t="n"/>
      <c r="F20" s="6" t="n"/>
      <c r="G20" s="6" t="n"/>
      <c r="H20" s="6" t="n"/>
      <c r="I20" s="6" t="n"/>
      <c r="J20" s="6" t="n"/>
      <c r="K20" s="6" t="n"/>
      <c r="L20" s="5" t="n"/>
      <c r="M20" s="5" t="n"/>
      <c r="N20" s="7" t="n"/>
      <c r="O20" s="7" t="n"/>
      <c r="P20" s="5" t="n"/>
    </row>
    <row r="21">
      <c r="A21" s="5" t="n"/>
      <c r="B21" s="5" t="n"/>
      <c r="C21" s="5" t="n"/>
      <c r="D21" s="5" t="n"/>
      <c r="E21" s="5" t="n"/>
      <c r="F21" s="6" t="n"/>
      <c r="G21" s="6" t="n"/>
      <c r="H21" s="6" t="n"/>
      <c r="I21" s="6" t="n"/>
      <c r="J21" s="6" t="n"/>
      <c r="K21" s="6" t="n"/>
      <c r="L21" s="5" t="n"/>
      <c r="M21" s="5" t="n"/>
      <c r="N21" s="7" t="n"/>
      <c r="O21" s="7" t="n"/>
      <c r="P21" s="5" t="n"/>
    </row>
    <row r="22">
      <c r="A22" s="5" t="n"/>
      <c r="B22" s="5" t="n"/>
      <c r="C22" s="5" t="n"/>
      <c r="D22" s="5" t="n"/>
      <c r="E22" s="5" t="n"/>
      <c r="F22" s="6" t="n"/>
      <c r="G22" s="6" t="n"/>
      <c r="H22" s="6" t="n"/>
      <c r="I22" s="6" t="n"/>
      <c r="J22" s="6" t="n"/>
      <c r="K22" s="6" t="n"/>
      <c r="L22" s="5" t="n"/>
      <c r="M22" s="5" t="n"/>
      <c r="N22" s="7" t="n"/>
      <c r="O22" s="7" t="n"/>
      <c r="P22" s="5" t="n"/>
    </row>
    <row r="23">
      <c r="A23" s="5" t="n"/>
      <c r="B23" s="5" t="n"/>
      <c r="C23" s="5" t="n"/>
      <c r="D23" s="5" t="n"/>
      <c r="E23" s="5" t="n"/>
      <c r="F23" s="6" t="n"/>
      <c r="G23" s="6" t="n"/>
      <c r="H23" s="6" t="n"/>
      <c r="I23" s="6" t="n"/>
      <c r="J23" s="6" t="n"/>
      <c r="K23" s="6" t="n"/>
      <c r="L23" s="5" t="n"/>
      <c r="M23" s="5" t="n"/>
      <c r="N23" s="7" t="n"/>
      <c r="O23" s="7" t="n"/>
      <c r="P23" s="5" t="n"/>
    </row>
    <row r="24">
      <c r="A24" s="5" t="n"/>
      <c r="B24" s="5" t="n"/>
      <c r="C24" s="5" t="n"/>
      <c r="D24" s="5" t="n"/>
      <c r="E24" s="5" t="n"/>
      <c r="F24" s="6" t="n"/>
      <c r="G24" s="6" t="n"/>
      <c r="H24" s="6" t="n"/>
      <c r="I24" s="6" t="n"/>
      <c r="J24" s="6" t="n"/>
      <c r="K24" s="6" t="n"/>
      <c r="L24" s="5" t="n"/>
      <c r="M24" s="5" t="n"/>
      <c r="N24" s="7" t="n"/>
      <c r="O24" s="7" t="n"/>
      <c r="P24" s="5" t="n"/>
    </row>
    <row r="25">
      <c r="A25" s="5" t="n"/>
      <c r="B25" s="5" t="n"/>
      <c r="C25" s="5" t="n"/>
      <c r="D25" s="5" t="n"/>
      <c r="E25" s="5" t="n"/>
      <c r="F25" s="6" t="n"/>
      <c r="G25" s="6" t="n"/>
      <c r="H25" s="6" t="n"/>
      <c r="I25" s="6" t="n"/>
      <c r="J25" s="6" t="n"/>
      <c r="K25" s="6" t="n"/>
      <c r="L25" s="5" t="n"/>
      <c r="M25" s="5" t="n"/>
      <c r="N25" s="7" t="n"/>
      <c r="O25" s="7" t="n"/>
      <c r="P25" s="5" t="n"/>
    </row>
    <row r="26">
      <c r="A26" s="5" t="n"/>
      <c r="B26" s="5" t="n"/>
      <c r="C26" s="5" t="n"/>
      <c r="D26" s="5" t="n"/>
      <c r="E26" s="5" t="n"/>
      <c r="F26" s="6" t="n"/>
      <c r="G26" s="6" t="n"/>
      <c r="H26" s="6" t="n"/>
      <c r="I26" s="6" t="n"/>
      <c r="J26" s="6" t="n"/>
      <c r="K26" s="6" t="n"/>
      <c r="L26" s="5" t="n"/>
      <c r="M26" s="5" t="n"/>
      <c r="N26" s="7" t="n"/>
      <c r="O26" s="7" t="n"/>
      <c r="P26" s="5" t="n"/>
    </row>
    <row r="27">
      <c r="A27" s="5" t="n"/>
      <c r="B27" s="5" t="n"/>
      <c r="C27" s="5" t="n"/>
      <c r="D27" s="5" t="n"/>
      <c r="E27" s="5" t="n"/>
      <c r="F27" s="6" t="n"/>
      <c r="G27" s="6" t="n"/>
      <c r="H27" s="6" t="n"/>
      <c r="I27" s="6" t="n"/>
      <c r="J27" s="6" t="n"/>
      <c r="K27" s="6" t="n"/>
      <c r="L27" s="5" t="n"/>
      <c r="M27" s="5" t="n"/>
      <c r="N27" s="7" t="n"/>
      <c r="O27" s="7" t="n"/>
      <c r="P27" s="5" t="n"/>
    </row>
    <row r="28">
      <c r="A28" s="5" t="n"/>
      <c r="B28" s="5" t="n"/>
      <c r="C28" s="5" t="n"/>
      <c r="D28" s="5" t="n"/>
      <c r="E28" s="5" t="n"/>
      <c r="F28" s="6" t="n"/>
      <c r="G28" s="6" t="n"/>
      <c r="H28" s="6" t="n"/>
      <c r="I28" s="6" t="n"/>
      <c r="J28" s="6" t="n"/>
      <c r="K28" s="6" t="n"/>
      <c r="L28" s="5" t="n"/>
      <c r="M28" s="5" t="n"/>
      <c r="N28" s="7" t="n"/>
      <c r="O28" s="7" t="n"/>
      <c r="P28" s="5" t="n"/>
    </row>
    <row r="29">
      <c r="A29" s="5" t="n"/>
      <c r="B29" s="5" t="n"/>
      <c r="C29" s="5" t="n"/>
      <c r="D29" s="5" t="n"/>
      <c r="E29" s="5" t="n"/>
      <c r="F29" s="6" t="n"/>
      <c r="G29" s="6" t="n"/>
      <c r="H29" s="6" t="n"/>
      <c r="I29" s="6" t="n"/>
      <c r="J29" s="6" t="n"/>
      <c r="K29" s="6" t="n"/>
      <c r="L29" s="5" t="n"/>
      <c r="M29" s="5" t="n"/>
      <c r="N29" s="7" t="n"/>
      <c r="O29" s="7" t="n"/>
      <c r="P29" s="5" t="n"/>
    </row>
    <row r="30">
      <c r="A30" s="5" t="n"/>
      <c r="B30" s="5" t="n"/>
      <c r="C30" s="5" t="n"/>
      <c r="D30" s="5" t="n"/>
      <c r="E30" s="5" t="n"/>
      <c r="F30" s="6" t="n"/>
      <c r="G30" s="6" t="n"/>
      <c r="H30" s="6" t="n"/>
      <c r="I30" s="6" t="n"/>
      <c r="J30" s="6" t="n"/>
      <c r="K30" s="6" t="n"/>
      <c r="L30" s="5" t="n"/>
      <c r="M30" s="5" t="n"/>
      <c r="N30" s="7" t="n"/>
      <c r="O30" s="7" t="n"/>
      <c r="P30" s="5" t="n"/>
    </row>
    <row r="31">
      <c r="A31" s="5" t="n"/>
      <c r="B31" s="5" t="n"/>
      <c r="C31" s="5" t="n"/>
      <c r="D31" s="5" t="n"/>
      <c r="E31" s="5" t="n"/>
      <c r="F31" s="6" t="n"/>
      <c r="G31" s="6" t="n"/>
      <c r="H31" s="6" t="n"/>
      <c r="I31" s="6" t="n"/>
      <c r="J31" s="6" t="n"/>
      <c r="K31" s="6" t="n"/>
      <c r="L31" s="5" t="n"/>
      <c r="M31" s="5" t="n"/>
      <c r="N31" s="7" t="n"/>
      <c r="O31" s="7" t="n"/>
      <c r="P31" s="5" t="n"/>
    </row>
    <row r="32">
      <c r="A32" s="5" t="n"/>
      <c r="B32" s="5" t="n"/>
      <c r="C32" s="5" t="n"/>
      <c r="D32" s="5" t="n"/>
      <c r="E32" s="5" t="n"/>
      <c r="F32" s="6" t="n"/>
      <c r="G32" s="6" t="n"/>
      <c r="H32" s="6" t="n"/>
      <c r="I32" s="6" t="n"/>
      <c r="J32" s="6" t="n"/>
      <c r="K32" s="6" t="n"/>
      <c r="L32" s="5" t="n"/>
      <c r="M32" s="5" t="n"/>
      <c r="N32" s="7" t="n"/>
      <c r="O32" s="7" t="n"/>
      <c r="P32" s="5" t="n"/>
    </row>
    <row r="33">
      <c r="A33" s="5" t="n"/>
      <c r="B33" s="5" t="n"/>
      <c r="C33" s="5" t="n"/>
      <c r="D33" s="5" t="n"/>
      <c r="E33" s="5" t="n"/>
      <c r="F33" s="6" t="n"/>
      <c r="G33" s="6" t="n"/>
      <c r="H33" s="6" t="n"/>
      <c r="I33" s="6" t="n"/>
      <c r="J33" s="6" t="n"/>
      <c r="K33" s="6" t="n"/>
      <c r="L33" s="5" t="n"/>
      <c r="M33" s="5" t="n"/>
      <c r="N33" s="7" t="n"/>
      <c r="O33" s="7" t="n"/>
      <c r="P33" s="5" t="n"/>
    </row>
    <row r="34">
      <c r="A34" s="5" t="n"/>
      <c r="B34" s="5" t="n"/>
      <c r="C34" s="5" t="n"/>
      <c r="D34" s="5" t="n"/>
      <c r="E34" s="5" t="n"/>
      <c r="F34" s="6" t="n"/>
      <c r="G34" s="6" t="n"/>
      <c r="H34" s="6" t="n"/>
      <c r="I34" s="6" t="n"/>
      <c r="J34" s="6" t="n"/>
      <c r="K34" s="6" t="n"/>
      <c r="L34" s="5" t="n"/>
      <c r="M34" s="5" t="n"/>
      <c r="N34" s="7" t="n"/>
      <c r="O34" s="7" t="n"/>
      <c r="P34" s="5" t="n"/>
    </row>
    <row r="35">
      <c r="A35" s="5" t="n"/>
      <c r="B35" s="5" t="n"/>
      <c r="C35" s="5" t="n"/>
      <c r="D35" s="5" t="n"/>
      <c r="E35" s="5" t="n"/>
      <c r="F35" s="6" t="n"/>
      <c r="G35" s="6" t="n"/>
      <c r="H35" s="6" t="n"/>
      <c r="I35" s="6" t="n"/>
      <c r="J35" s="6" t="n"/>
      <c r="K35" s="6" t="n"/>
      <c r="L35" s="5" t="n"/>
      <c r="M35" s="5" t="n"/>
      <c r="N35" s="7" t="n"/>
      <c r="O35" s="7" t="n"/>
      <c r="P35" s="5" t="n"/>
    </row>
    <row r="36">
      <c r="A36" s="5" t="n"/>
      <c r="B36" s="5" t="n"/>
      <c r="C36" s="5" t="n"/>
      <c r="D36" s="5" t="n"/>
      <c r="E36" s="5" t="n"/>
      <c r="F36" s="6" t="n"/>
      <c r="G36" s="6" t="n"/>
      <c r="H36" s="6" t="n"/>
      <c r="I36" s="6" t="n"/>
      <c r="J36" s="6" t="n"/>
      <c r="K36" s="6" t="n"/>
      <c r="L36" s="5" t="n"/>
      <c r="M36" s="5" t="n"/>
      <c r="N36" s="7" t="n"/>
      <c r="O36" s="7" t="n"/>
      <c r="P36" s="5" t="n"/>
    </row>
    <row r="37">
      <c r="A37" s="5" t="n"/>
      <c r="B37" s="5" t="n"/>
      <c r="C37" s="5" t="n"/>
      <c r="D37" s="5" t="n"/>
      <c r="E37" s="5" t="n"/>
      <c r="F37" s="6" t="n"/>
      <c r="G37" s="6" t="n"/>
      <c r="H37" s="6" t="n"/>
      <c r="I37" s="6" t="n"/>
      <c r="J37" s="6" t="n"/>
      <c r="K37" s="6" t="n"/>
      <c r="L37" s="5" t="n"/>
      <c r="M37" s="5" t="n"/>
      <c r="N37" s="7" t="n"/>
      <c r="O37" s="7" t="n"/>
      <c r="P37" s="5" t="n"/>
    </row>
    <row r="38">
      <c r="A38" s="5" t="n"/>
      <c r="B38" s="5" t="n"/>
      <c r="C38" s="5" t="n"/>
      <c r="D38" s="5" t="n"/>
      <c r="E38" s="5" t="n"/>
      <c r="F38" s="6" t="n"/>
      <c r="G38" s="6" t="n"/>
      <c r="H38" s="6" t="n"/>
      <c r="I38" s="6" t="n"/>
      <c r="J38" s="6" t="n"/>
      <c r="K38" s="6" t="n"/>
      <c r="L38" s="5" t="n"/>
      <c r="M38" s="5" t="n"/>
      <c r="N38" s="7" t="n"/>
      <c r="O38" s="7" t="n"/>
      <c r="P38" s="5" t="n"/>
    </row>
    <row r="39">
      <c r="A39" s="5" t="n"/>
      <c r="B39" s="5" t="n"/>
      <c r="C39" s="5" t="n"/>
      <c r="D39" s="5" t="n"/>
      <c r="E39" s="5" t="n"/>
      <c r="F39" s="6" t="n"/>
      <c r="G39" s="6" t="n"/>
      <c r="H39" s="6" t="n"/>
      <c r="I39" s="6" t="n"/>
      <c r="J39" s="6" t="n"/>
      <c r="K39" s="6" t="n"/>
      <c r="L39" s="5" t="n"/>
      <c r="M39" s="5" t="n"/>
      <c r="N39" s="7" t="n"/>
      <c r="O39" s="7" t="n"/>
      <c r="P39" s="5" t="n"/>
    </row>
    <row r="40">
      <c r="A40" s="5" t="n"/>
      <c r="B40" s="5" t="n"/>
      <c r="C40" s="5" t="n"/>
      <c r="D40" s="5" t="n"/>
      <c r="E40" s="5" t="n"/>
      <c r="F40" s="6" t="n"/>
      <c r="G40" s="6" t="n"/>
      <c r="H40" s="6" t="n"/>
      <c r="I40" s="6" t="n"/>
      <c r="J40" s="6" t="n"/>
      <c r="K40" s="6" t="n"/>
      <c r="L40" s="5" t="n"/>
      <c r="M40" s="5" t="n"/>
      <c r="N40" s="7" t="n"/>
      <c r="O40" s="7" t="n"/>
      <c r="P40" s="5" t="n"/>
    </row>
    <row r="41">
      <c r="A41" s="5" t="n"/>
      <c r="B41" s="5" t="n"/>
      <c r="C41" s="5" t="n"/>
      <c r="D41" s="5" t="n"/>
      <c r="E41" s="5" t="n"/>
      <c r="F41" s="6" t="n"/>
      <c r="G41" s="6" t="n"/>
      <c r="H41" s="6" t="n"/>
      <c r="I41" s="6" t="n"/>
      <c r="J41" s="6" t="n"/>
      <c r="K41" s="6" t="n"/>
      <c r="L41" s="5" t="n"/>
      <c r="M41" s="5" t="n"/>
      <c r="N41" s="7" t="n"/>
      <c r="O41" s="7" t="n"/>
      <c r="P41" s="5" t="n"/>
    </row>
    <row r="42">
      <c r="A42" s="5" t="n"/>
      <c r="B42" s="5" t="n"/>
      <c r="C42" s="5" t="n"/>
      <c r="D42" s="5" t="n"/>
      <c r="E42" s="5" t="n"/>
      <c r="F42" s="6" t="n"/>
      <c r="G42" s="6" t="n"/>
      <c r="H42" s="6" t="n"/>
      <c r="I42" s="6" t="n"/>
      <c r="J42" s="6" t="n"/>
      <c r="K42" s="6" t="n"/>
      <c r="L42" s="5" t="n"/>
      <c r="M42" s="5" t="n"/>
      <c r="N42" s="7" t="n"/>
      <c r="O42" s="7" t="n"/>
      <c r="P42" s="5" t="n"/>
    </row>
    <row r="43">
      <c r="A43" s="5" t="n"/>
      <c r="B43" s="5" t="n"/>
      <c r="C43" s="5" t="n"/>
      <c r="D43" s="5" t="n"/>
      <c r="E43" s="5" t="n"/>
      <c r="F43" s="6" t="n"/>
      <c r="G43" s="6" t="n"/>
      <c r="H43" s="6" t="n"/>
      <c r="I43" s="6" t="n"/>
      <c r="J43" s="6" t="n"/>
      <c r="K43" s="6" t="n"/>
      <c r="L43" s="5" t="n"/>
      <c r="M43" s="5" t="n"/>
      <c r="N43" s="7" t="n"/>
      <c r="O43" s="7" t="n"/>
      <c r="P43" s="5" t="n"/>
    </row>
    <row r="44">
      <c r="A44" s="5" t="n"/>
      <c r="B44" s="5" t="n"/>
      <c r="C44" s="5" t="n"/>
      <c r="D44" s="5" t="n"/>
      <c r="E44" s="5" t="n"/>
      <c r="F44" s="6" t="n"/>
      <c r="G44" s="6" t="n"/>
      <c r="H44" s="6" t="n"/>
      <c r="I44" s="6" t="n"/>
      <c r="J44" s="6" t="n"/>
      <c r="K44" s="6" t="n"/>
      <c r="L44" s="5" t="n"/>
      <c r="M44" s="5" t="n"/>
      <c r="N44" s="7" t="n"/>
      <c r="O44" s="7" t="n"/>
      <c r="P44" s="5" t="n"/>
    </row>
    <row r="45">
      <c r="A45" s="5" t="n"/>
      <c r="B45" s="5" t="n"/>
      <c r="C45" s="5" t="n"/>
      <c r="D45" s="5" t="n"/>
      <c r="E45" s="5" t="n"/>
      <c r="F45" s="6" t="n"/>
      <c r="G45" s="6" t="n"/>
      <c r="H45" s="6" t="n"/>
      <c r="I45" s="6" t="n"/>
      <c r="J45" s="6" t="n"/>
      <c r="K45" s="6" t="n"/>
      <c r="L45" s="5" t="n"/>
      <c r="M45" s="5" t="n"/>
      <c r="N45" s="7" t="n"/>
      <c r="O45" s="7" t="n"/>
      <c r="P45" s="5" t="n"/>
    </row>
    <row r="46">
      <c r="A46" s="5" t="n"/>
      <c r="B46" s="5" t="n"/>
      <c r="C46" s="5" t="n"/>
      <c r="D46" s="5" t="n"/>
      <c r="E46" s="5" t="n"/>
      <c r="F46" s="6" t="n"/>
      <c r="G46" s="6" t="n"/>
      <c r="H46" s="6" t="n"/>
      <c r="I46" s="6" t="n"/>
      <c r="J46" s="6" t="n"/>
      <c r="K46" s="6" t="n"/>
      <c r="L46" s="5" t="n"/>
      <c r="M46" s="5" t="n"/>
      <c r="N46" s="7" t="n"/>
      <c r="O46" s="7" t="n"/>
      <c r="P46" s="5" t="n"/>
    </row>
    <row r="47">
      <c r="A47" s="5" t="n"/>
      <c r="B47" s="5" t="n"/>
      <c r="C47" s="5" t="n"/>
      <c r="D47" s="5" t="n"/>
      <c r="E47" s="5" t="n"/>
      <c r="F47" s="6" t="n"/>
      <c r="G47" s="6" t="n"/>
      <c r="H47" s="6" t="n"/>
      <c r="I47" s="6" t="n"/>
      <c r="J47" s="6" t="n"/>
      <c r="K47" s="6" t="n"/>
      <c r="L47" s="5" t="n"/>
      <c r="M47" s="5" t="n"/>
      <c r="N47" s="7" t="n"/>
      <c r="O47" s="7" t="n"/>
      <c r="P47" s="5" t="n"/>
    </row>
    <row r="48">
      <c r="A48" s="5" t="n"/>
      <c r="B48" s="5" t="n"/>
      <c r="C48" s="5" t="n"/>
      <c r="D48" s="5" t="n"/>
      <c r="E48" s="5" t="n"/>
      <c r="F48" s="6" t="n"/>
      <c r="G48" s="6" t="n"/>
      <c r="H48" s="6" t="n"/>
      <c r="I48" s="6" t="n"/>
      <c r="J48" s="6" t="n"/>
      <c r="K48" s="6" t="n"/>
      <c r="L48" s="5" t="n"/>
      <c r="M48" s="5" t="n"/>
      <c r="N48" s="7" t="n"/>
      <c r="O48" s="7" t="n"/>
      <c r="P48" s="5" t="n"/>
    </row>
    <row r="49">
      <c r="A49" s="5" t="n"/>
      <c r="B49" s="5" t="n"/>
      <c r="C49" s="5" t="n"/>
      <c r="D49" s="5" t="n"/>
      <c r="E49" s="5" t="n"/>
      <c r="F49" s="6" t="n"/>
      <c r="G49" s="6" t="n"/>
      <c r="H49" s="6" t="n"/>
      <c r="I49" s="6" t="n"/>
      <c r="J49" s="6" t="n"/>
      <c r="K49" s="6" t="n"/>
      <c r="L49" s="5" t="n"/>
      <c r="M49" s="5" t="n"/>
      <c r="N49" s="7" t="n"/>
      <c r="O49" s="7" t="n"/>
      <c r="P49" s="5" t="n"/>
    </row>
    <row r="50">
      <c r="A50" s="5" t="n"/>
      <c r="B50" s="5" t="n"/>
      <c r="C50" s="5" t="n"/>
      <c r="D50" s="5" t="n"/>
      <c r="E50" s="5" t="n"/>
      <c r="F50" s="6" t="n"/>
      <c r="G50" s="6" t="n"/>
      <c r="H50" s="6" t="n"/>
      <c r="I50" s="6" t="n"/>
      <c r="J50" s="6" t="n"/>
      <c r="K50" s="6" t="n"/>
      <c r="L50" s="5" t="n"/>
      <c r="M50" s="5" t="n"/>
      <c r="N50" s="7" t="n"/>
      <c r="O50" s="7" t="n"/>
      <c r="P50" s="5" t="n"/>
    </row>
    <row r="51">
      <c r="A51" s="5" t="n"/>
      <c r="B51" s="5" t="n"/>
      <c r="C51" s="5" t="n"/>
      <c r="D51" s="5" t="n"/>
      <c r="E51" s="5" t="n"/>
      <c r="F51" s="6" t="n"/>
      <c r="G51" s="6" t="n"/>
      <c r="H51" s="6" t="n"/>
      <c r="I51" s="6" t="n"/>
      <c r="J51" s="6" t="n"/>
      <c r="K51" s="6" t="n"/>
      <c r="L51" s="5" t="n"/>
      <c r="M51" s="5" t="n"/>
      <c r="N51" s="7" t="n"/>
      <c r="O51" s="7" t="n"/>
      <c r="P51" s="5" t="n"/>
    </row>
    <row r="52">
      <c r="A52" s="5" t="n"/>
      <c r="B52" s="5" t="n"/>
      <c r="C52" s="5" t="n"/>
      <c r="D52" s="5" t="n"/>
      <c r="E52" s="5" t="n"/>
      <c r="F52" s="6" t="n"/>
      <c r="G52" s="6" t="n"/>
      <c r="H52" s="6" t="n"/>
      <c r="I52" s="6" t="n"/>
      <c r="J52" s="6" t="n"/>
      <c r="K52" s="6" t="n"/>
      <c r="L52" s="5" t="n"/>
      <c r="M52" s="5" t="n"/>
      <c r="N52" s="7" t="n"/>
      <c r="O52" s="7" t="n"/>
      <c r="P52" s="5" t="n"/>
    </row>
    <row r="53">
      <c r="A53" s="5" t="n"/>
      <c r="B53" s="5" t="n"/>
      <c r="C53" s="5" t="n"/>
      <c r="D53" s="5" t="n"/>
      <c r="E53" s="5" t="n"/>
      <c r="F53" s="6" t="n"/>
      <c r="G53" s="6" t="n"/>
      <c r="H53" s="6" t="n"/>
      <c r="I53" s="6" t="n"/>
      <c r="J53" s="6" t="n"/>
      <c r="K53" s="6" t="n"/>
      <c r="L53" s="5" t="n"/>
      <c r="M53" s="5" t="n"/>
      <c r="N53" s="7" t="n"/>
      <c r="O53" s="7" t="n"/>
      <c r="P53" s="5" t="n"/>
    </row>
  </sheetData>
  <mergeCells count="1">
    <mergeCell ref="A1:P1"/>
  </mergeCells>
  <dataValidations count="2">
    <dataValidation sqref="B4 B5 B6 B7 B8 B9 B10 B11 B12 B13 B14 B15 B16 B17 B18 B19 B20 B21 B22 B23 B24 B25 B26 B27 B28 B29 B30 B31 B32 B33 B34 B35 B36 B37 B38 B39 B40 B41 B42 B43 B44 B45 B46 B47 B48 B49 B50 B51 B52 B53" showDropDown="0" showInputMessage="0" showErrorMessage="0" allowBlank="0" type="list">
      <formula1>"High,Medium,Low"</formula1>
    </dataValidation>
    <dataValidation sqref="E4 E5 E6 E7 E8 E9 E10 E11 E12 E13 E14 E15 E16 E17 E18 E19 E20 E21 E22 E23 E24 E25 E26 E27 E28 E29 E30 E31 E32 E33 E34 E35 E36 E37 E38 E39 E40 E41 E42 E43 E44 E45 E46 E47 E48 E49 E50 E51 E52 E53" showDropDown="0" showInputMessage="0" showErrorMessage="0" allowBlank="0" type="list">
      <formula1>"Classification,Initiation,Planning,Execution,Monitoring,Closure,Closed"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0" customWidth="1" min="1" max="1"/>
    <col width="15" customWidth="1" min="2" max="2"/>
  </cols>
  <sheetData>
    <row r="1" ht="35" customHeight="1">
      <c r="A1" s="1" t="inlineStr">
        <is>
          <t>EXECUTIVE SUMMARY\nOne-Page Portfolio Health Snapshot</t>
        </is>
      </c>
    </row>
    <row r="3">
      <c r="A3" s="2" t="inlineStr">
        <is>
          <t>PORTFOLIO HEALTH STATUS</t>
        </is>
      </c>
    </row>
    <row r="5">
      <c r="A5" s="8" t="inlineStr">
        <is>
          <t>Portfolio Compliance Score:</t>
        </is>
      </c>
      <c r="B5" s="9">
        <f>(SUMPRODUCT('Project Data'!F4:F53,('Project Data'!B4:B53="High")*3+('Project Data'!B4:B53="Medium")*2+('Project Data'!B4:B53="Low")*1))/(SUMPRODUCT(('Project Data'!B4:B53="High")*3+('Project Data'!B4:B53="Medium")*2+('Project Data'!B4:B53="Low")*1))</f>
        <v/>
      </c>
    </row>
    <row r="7">
      <c r="A7" s="10" t="inlineStr">
        <is>
          <t>Portfolio Health:</t>
        </is>
      </c>
      <c r="B7" s="11">
        <f>IF(AND(B5&gt;=0.85,SUMPRODUCT(--('Project Data'!L4:L53&gt;0))=0),"🟢 Green",IF(OR(B5&lt;0.7,SUMPRODUCT(--('Project Data'!L4:L53&gt;0))&gt;3),"🔴 Red","🟡 Amber"))</f>
        <v/>
      </c>
    </row>
    <row r="10">
      <c r="A10" s="2" t="inlineStr">
        <is>
          <t>KEY METRICS</t>
        </is>
      </c>
    </row>
    <row r="11">
      <c r="A11" s="10" t="inlineStr">
        <is>
          <t>Total Projects:</t>
        </is>
      </c>
      <c r="B11" s="10">
        <f>COUNTA('Project Data'!A4:A53)</f>
        <v/>
      </c>
    </row>
    <row r="12">
      <c r="A12" s="10" t="inlineStr">
        <is>
          <t>High Risk Projects:</t>
        </is>
      </c>
      <c r="B12" s="10">
        <f>COUNTIF('Project Data'!B4:B53,"High")</f>
        <v/>
      </c>
    </row>
    <row r="13">
      <c r="A13" s="10" t="inlineStr">
        <is>
          <t>Medium Risk Projects:</t>
        </is>
      </c>
      <c r="B13" s="10">
        <f>COUNTIF('Project Data'!B4:B53,"Medium")</f>
        <v/>
      </c>
    </row>
    <row r="14">
      <c r="A14" s="10" t="inlineStr">
        <is>
          <t>Low Risk Projects:</t>
        </is>
      </c>
      <c r="B14" s="10">
        <f>COUNTIF('Project Data'!B4:B53,"Low")</f>
        <v/>
      </c>
    </row>
    <row r="15">
      <c r="A15" s="10" t="inlineStr">
        <is>
          <t>Projects ≥85%:</t>
        </is>
      </c>
      <c r="B15" s="10">
        <f>COUNTIF('Project Data'!F4:F53,"&gt;=0.85")</f>
        <v/>
      </c>
    </row>
    <row r="16">
      <c r="A16" s="10" t="inlineStr">
        <is>
          <t>Projects &lt;70%:</t>
        </is>
      </c>
      <c r="B16" s="10">
        <f>COUNTIF('Project Data'!F4:F53,"&lt;0.7")</f>
        <v/>
      </c>
    </row>
    <row r="17">
      <c r="A17" s="10" t="inlineStr">
        <is>
          <t>Total Critical Gaps:</t>
        </is>
      </c>
      <c r="B17" s="10">
        <f>SUM('Project Data'!L4:L53)</f>
        <v/>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3"/>
  <sheetViews>
    <sheetView workbookViewId="0">
      <selection activeCell="A1" sqref="A1"/>
    </sheetView>
  </sheetViews>
  <sheetFormatPr baseColWidth="8" defaultRowHeight="15"/>
  <cols>
    <col width="30" customWidth="1" min="1" max="1"/>
    <col width="12" customWidth="1" min="2" max="2"/>
    <col width="15" customWidth="1" min="3" max="3"/>
    <col width="12" customWidth="1" min="4" max="4"/>
    <col width="12" customWidth="1" min="5" max="5"/>
    <col width="12" customWidth="1" min="6" max="6"/>
    <col width="20" customWidth="1" min="7" max="7"/>
    <col width="40" customWidth="1" min="8" max="8"/>
  </cols>
  <sheetData>
    <row r="1" ht="30" customHeight="1">
      <c r="A1" s="1" t="inlineStr">
        <is>
          <t>PROJECT STATUS\nDetailed Project-by-Project View</t>
        </is>
      </c>
    </row>
    <row r="3">
      <c r="A3" s="12" t="inlineStr">
        <is>
          <t>Project</t>
        </is>
      </c>
      <c r="B3" s="12" t="inlineStr">
        <is>
          <t>Classification</t>
        </is>
      </c>
      <c r="C3" s="12" t="inlineStr">
        <is>
          <t>Phase</t>
        </is>
      </c>
      <c r="D3" s="12" t="inlineStr">
        <is>
          <t>Compliance %</t>
        </is>
      </c>
      <c r="E3" s="12" t="inlineStr">
        <is>
          <t>Critical Gaps</t>
        </is>
      </c>
      <c r="F3" s="12" t="inlineStr">
        <is>
          <t>Status</t>
        </is>
      </c>
      <c r="G3" s="12" t="inlineStr">
        <is>
          <t>Owner</t>
        </is>
      </c>
      <c r="H3" s="12" t="inlineStr">
        <is>
          <t>Notes</t>
        </is>
      </c>
    </row>
    <row r="4">
      <c r="A4">
        <f>'Project Data'!A5</f>
        <v/>
      </c>
      <c r="B4">
        <f>'Project Data'!B5</f>
        <v/>
      </c>
      <c r="C4">
        <f>'Project Data'!E5</f>
        <v/>
      </c>
      <c r="D4" s="13">
        <f>'Project Data'!F5</f>
        <v/>
      </c>
      <c r="E4">
        <f>'Project Data'!L5</f>
        <v/>
      </c>
      <c r="F4">
        <f>IF(D4&gt;=0.85,"🟢",IF(D4&lt;0.7,"🔴","🟡"))</f>
        <v/>
      </c>
      <c r="G4">
        <f>'Project Data'!C5</f>
        <v/>
      </c>
      <c r="H4">
        <f>'Project Data'!P5</f>
        <v/>
      </c>
    </row>
    <row r="5">
      <c r="A5">
        <f>'Project Data'!A6</f>
        <v/>
      </c>
      <c r="B5">
        <f>'Project Data'!B6</f>
        <v/>
      </c>
      <c r="C5">
        <f>'Project Data'!E6</f>
        <v/>
      </c>
      <c r="D5" s="13">
        <f>'Project Data'!F6</f>
        <v/>
      </c>
      <c r="E5">
        <f>'Project Data'!L6</f>
        <v/>
      </c>
      <c r="F5">
        <f>IF(D5&gt;=0.85,"🟢",IF(D5&lt;0.7,"🔴","🟡"))</f>
        <v/>
      </c>
      <c r="G5">
        <f>'Project Data'!C6</f>
        <v/>
      </c>
      <c r="H5">
        <f>'Project Data'!P6</f>
        <v/>
      </c>
    </row>
    <row r="6">
      <c r="A6">
        <f>'Project Data'!A7</f>
        <v/>
      </c>
      <c r="B6">
        <f>'Project Data'!B7</f>
        <v/>
      </c>
      <c r="C6">
        <f>'Project Data'!E7</f>
        <v/>
      </c>
      <c r="D6" s="13">
        <f>'Project Data'!F7</f>
        <v/>
      </c>
      <c r="E6">
        <f>'Project Data'!L7</f>
        <v/>
      </c>
      <c r="F6">
        <f>IF(D6&gt;=0.85,"🟢",IF(D6&lt;0.7,"🔴","🟡"))</f>
        <v/>
      </c>
      <c r="G6">
        <f>'Project Data'!C7</f>
        <v/>
      </c>
      <c r="H6">
        <f>'Project Data'!P7</f>
        <v/>
      </c>
    </row>
    <row r="7">
      <c r="A7">
        <f>'Project Data'!A8</f>
        <v/>
      </c>
      <c r="B7">
        <f>'Project Data'!B8</f>
        <v/>
      </c>
      <c r="C7">
        <f>'Project Data'!E8</f>
        <v/>
      </c>
      <c r="D7" s="13">
        <f>'Project Data'!F8</f>
        <v/>
      </c>
      <c r="E7">
        <f>'Project Data'!L8</f>
        <v/>
      </c>
      <c r="F7">
        <f>IF(D7&gt;=0.85,"🟢",IF(D7&lt;0.7,"🔴","🟡"))</f>
        <v/>
      </c>
      <c r="G7">
        <f>'Project Data'!C8</f>
        <v/>
      </c>
      <c r="H7">
        <f>'Project Data'!P8</f>
        <v/>
      </c>
    </row>
    <row r="8">
      <c r="A8">
        <f>'Project Data'!A9</f>
        <v/>
      </c>
      <c r="B8">
        <f>'Project Data'!B9</f>
        <v/>
      </c>
      <c r="C8">
        <f>'Project Data'!E9</f>
        <v/>
      </c>
      <c r="D8" s="13">
        <f>'Project Data'!F9</f>
        <v/>
      </c>
      <c r="E8">
        <f>'Project Data'!L9</f>
        <v/>
      </c>
      <c r="F8">
        <f>IF(D8&gt;=0.85,"🟢",IF(D8&lt;0.7,"🔴","🟡"))</f>
        <v/>
      </c>
      <c r="G8">
        <f>'Project Data'!C9</f>
        <v/>
      </c>
      <c r="H8">
        <f>'Project Data'!P9</f>
        <v/>
      </c>
    </row>
    <row r="9">
      <c r="A9">
        <f>'Project Data'!A10</f>
        <v/>
      </c>
      <c r="B9">
        <f>'Project Data'!B10</f>
        <v/>
      </c>
      <c r="C9">
        <f>'Project Data'!E10</f>
        <v/>
      </c>
      <c r="D9" s="13">
        <f>'Project Data'!F10</f>
        <v/>
      </c>
      <c r="E9">
        <f>'Project Data'!L10</f>
        <v/>
      </c>
      <c r="F9">
        <f>IF(D9&gt;=0.85,"🟢",IF(D9&lt;0.7,"🔴","🟡"))</f>
        <v/>
      </c>
      <c r="G9">
        <f>'Project Data'!C10</f>
        <v/>
      </c>
      <c r="H9">
        <f>'Project Data'!P10</f>
        <v/>
      </c>
    </row>
    <row r="10">
      <c r="A10">
        <f>'Project Data'!A11</f>
        <v/>
      </c>
      <c r="B10">
        <f>'Project Data'!B11</f>
        <v/>
      </c>
      <c r="C10">
        <f>'Project Data'!E11</f>
        <v/>
      </c>
      <c r="D10" s="13">
        <f>'Project Data'!F11</f>
        <v/>
      </c>
      <c r="E10">
        <f>'Project Data'!L11</f>
        <v/>
      </c>
      <c r="F10">
        <f>IF(D10&gt;=0.85,"🟢",IF(D10&lt;0.7,"🔴","🟡"))</f>
        <v/>
      </c>
      <c r="G10">
        <f>'Project Data'!C11</f>
        <v/>
      </c>
      <c r="H10">
        <f>'Project Data'!P11</f>
        <v/>
      </c>
    </row>
    <row r="11">
      <c r="A11">
        <f>'Project Data'!A12</f>
        <v/>
      </c>
      <c r="B11">
        <f>'Project Data'!B12</f>
        <v/>
      </c>
      <c r="C11">
        <f>'Project Data'!E12</f>
        <v/>
      </c>
      <c r="D11" s="13">
        <f>'Project Data'!F12</f>
        <v/>
      </c>
      <c r="E11">
        <f>'Project Data'!L12</f>
        <v/>
      </c>
      <c r="F11">
        <f>IF(D11&gt;=0.85,"🟢",IF(D11&lt;0.7,"🔴","🟡"))</f>
        <v/>
      </c>
      <c r="G11">
        <f>'Project Data'!C12</f>
        <v/>
      </c>
      <c r="H11">
        <f>'Project Data'!P12</f>
        <v/>
      </c>
    </row>
    <row r="12">
      <c r="A12">
        <f>'Project Data'!A13</f>
        <v/>
      </c>
      <c r="B12">
        <f>'Project Data'!B13</f>
        <v/>
      </c>
      <c r="C12">
        <f>'Project Data'!E13</f>
        <v/>
      </c>
      <c r="D12" s="13">
        <f>'Project Data'!F13</f>
        <v/>
      </c>
      <c r="E12">
        <f>'Project Data'!L13</f>
        <v/>
      </c>
      <c r="F12">
        <f>IF(D12&gt;=0.85,"🟢",IF(D12&lt;0.7,"🔴","🟡"))</f>
        <v/>
      </c>
      <c r="G12">
        <f>'Project Data'!C13</f>
        <v/>
      </c>
      <c r="H12">
        <f>'Project Data'!P13</f>
        <v/>
      </c>
    </row>
    <row r="13">
      <c r="A13">
        <f>'Project Data'!A14</f>
        <v/>
      </c>
      <c r="B13">
        <f>'Project Data'!B14</f>
        <v/>
      </c>
      <c r="C13">
        <f>'Project Data'!E14</f>
        <v/>
      </c>
      <c r="D13" s="13">
        <f>'Project Data'!F14</f>
        <v/>
      </c>
      <c r="E13">
        <f>'Project Data'!L14</f>
        <v/>
      </c>
      <c r="F13">
        <f>IF(D13&gt;=0.85,"🟢",IF(D13&lt;0.7,"🔴","🟡"))</f>
        <v/>
      </c>
      <c r="G13">
        <f>'Project Data'!C14</f>
        <v/>
      </c>
      <c r="H13">
        <f>'Project Data'!P14</f>
        <v/>
      </c>
    </row>
    <row r="14">
      <c r="A14">
        <f>'Project Data'!A15</f>
        <v/>
      </c>
      <c r="B14">
        <f>'Project Data'!B15</f>
        <v/>
      </c>
      <c r="C14">
        <f>'Project Data'!E15</f>
        <v/>
      </c>
      <c r="D14" s="13">
        <f>'Project Data'!F15</f>
        <v/>
      </c>
      <c r="E14">
        <f>'Project Data'!L15</f>
        <v/>
      </c>
      <c r="F14">
        <f>IF(D14&gt;=0.85,"🟢",IF(D14&lt;0.7,"🔴","🟡"))</f>
        <v/>
      </c>
      <c r="G14">
        <f>'Project Data'!C15</f>
        <v/>
      </c>
      <c r="H14">
        <f>'Project Data'!P15</f>
        <v/>
      </c>
    </row>
    <row r="15">
      <c r="A15">
        <f>'Project Data'!A16</f>
        <v/>
      </c>
      <c r="B15">
        <f>'Project Data'!B16</f>
        <v/>
      </c>
      <c r="C15">
        <f>'Project Data'!E16</f>
        <v/>
      </c>
      <c r="D15" s="13">
        <f>'Project Data'!F16</f>
        <v/>
      </c>
      <c r="E15">
        <f>'Project Data'!L16</f>
        <v/>
      </c>
      <c r="F15">
        <f>IF(D15&gt;=0.85,"🟢",IF(D15&lt;0.7,"🔴","🟡"))</f>
        <v/>
      </c>
      <c r="G15">
        <f>'Project Data'!C16</f>
        <v/>
      </c>
      <c r="H15">
        <f>'Project Data'!P16</f>
        <v/>
      </c>
    </row>
    <row r="16">
      <c r="A16">
        <f>'Project Data'!A17</f>
        <v/>
      </c>
      <c r="B16">
        <f>'Project Data'!B17</f>
        <v/>
      </c>
      <c r="C16">
        <f>'Project Data'!E17</f>
        <v/>
      </c>
      <c r="D16" s="13">
        <f>'Project Data'!F17</f>
        <v/>
      </c>
      <c r="E16">
        <f>'Project Data'!L17</f>
        <v/>
      </c>
      <c r="F16">
        <f>IF(D16&gt;=0.85,"🟢",IF(D16&lt;0.7,"🔴","🟡"))</f>
        <v/>
      </c>
      <c r="G16">
        <f>'Project Data'!C17</f>
        <v/>
      </c>
      <c r="H16">
        <f>'Project Data'!P17</f>
        <v/>
      </c>
    </row>
    <row r="17">
      <c r="A17">
        <f>'Project Data'!A18</f>
        <v/>
      </c>
      <c r="B17">
        <f>'Project Data'!B18</f>
        <v/>
      </c>
      <c r="C17">
        <f>'Project Data'!E18</f>
        <v/>
      </c>
      <c r="D17" s="13">
        <f>'Project Data'!F18</f>
        <v/>
      </c>
      <c r="E17">
        <f>'Project Data'!L18</f>
        <v/>
      </c>
      <c r="F17">
        <f>IF(D17&gt;=0.85,"🟢",IF(D17&lt;0.7,"🔴","🟡"))</f>
        <v/>
      </c>
      <c r="G17">
        <f>'Project Data'!C18</f>
        <v/>
      </c>
      <c r="H17">
        <f>'Project Data'!P18</f>
        <v/>
      </c>
    </row>
    <row r="18">
      <c r="A18">
        <f>'Project Data'!A19</f>
        <v/>
      </c>
      <c r="B18">
        <f>'Project Data'!B19</f>
        <v/>
      </c>
      <c r="C18">
        <f>'Project Data'!E19</f>
        <v/>
      </c>
      <c r="D18" s="13">
        <f>'Project Data'!F19</f>
        <v/>
      </c>
      <c r="E18">
        <f>'Project Data'!L19</f>
        <v/>
      </c>
      <c r="F18">
        <f>IF(D18&gt;=0.85,"🟢",IF(D18&lt;0.7,"🔴","🟡"))</f>
        <v/>
      </c>
      <c r="G18">
        <f>'Project Data'!C19</f>
        <v/>
      </c>
      <c r="H18">
        <f>'Project Data'!P19</f>
        <v/>
      </c>
    </row>
    <row r="19">
      <c r="A19">
        <f>'Project Data'!A20</f>
        <v/>
      </c>
      <c r="B19">
        <f>'Project Data'!B20</f>
        <v/>
      </c>
      <c r="C19">
        <f>'Project Data'!E20</f>
        <v/>
      </c>
      <c r="D19" s="13">
        <f>'Project Data'!F20</f>
        <v/>
      </c>
      <c r="E19">
        <f>'Project Data'!L20</f>
        <v/>
      </c>
      <c r="F19">
        <f>IF(D19&gt;=0.85,"🟢",IF(D19&lt;0.7,"🔴","🟡"))</f>
        <v/>
      </c>
      <c r="G19">
        <f>'Project Data'!C20</f>
        <v/>
      </c>
      <c r="H19">
        <f>'Project Data'!P20</f>
        <v/>
      </c>
    </row>
    <row r="20">
      <c r="A20">
        <f>'Project Data'!A21</f>
        <v/>
      </c>
      <c r="B20">
        <f>'Project Data'!B21</f>
        <v/>
      </c>
      <c r="C20">
        <f>'Project Data'!E21</f>
        <v/>
      </c>
      <c r="D20" s="13">
        <f>'Project Data'!F21</f>
        <v/>
      </c>
      <c r="E20">
        <f>'Project Data'!L21</f>
        <v/>
      </c>
      <c r="F20">
        <f>IF(D20&gt;=0.85,"🟢",IF(D20&lt;0.7,"🔴","🟡"))</f>
        <v/>
      </c>
      <c r="G20">
        <f>'Project Data'!C21</f>
        <v/>
      </c>
      <c r="H20">
        <f>'Project Data'!P21</f>
        <v/>
      </c>
    </row>
    <row r="21">
      <c r="A21">
        <f>'Project Data'!A22</f>
        <v/>
      </c>
      <c r="B21">
        <f>'Project Data'!B22</f>
        <v/>
      </c>
      <c r="C21">
        <f>'Project Data'!E22</f>
        <v/>
      </c>
      <c r="D21" s="13">
        <f>'Project Data'!F22</f>
        <v/>
      </c>
      <c r="E21">
        <f>'Project Data'!L22</f>
        <v/>
      </c>
      <c r="F21">
        <f>IF(D21&gt;=0.85,"🟢",IF(D21&lt;0.7,"🔴","🟡"))</f>
        <v/>
      </c>
      <c r="G21">
        <f>'Project Data'!C22</f>
        <v/>
      </c>
      <c r="H21">
        <f>'Project Data'!P22</f>
        <v/>
      </c>
    </row>
    <row r="22">
      <c r="A22">
        <f>'Project Data'!A23</f>
        <v/>
      </c>
      <c r="B22">
        <f>'Project Data'!B23</f>
        <v/>
      </c>
      <c r="C22">
        <f>'Project Data'!E23</f>
        <v/>
      </c>
      <c r="D22" s="13">
        <f>'Project Data'!F23</f>
        <v/>
      </c>
      <c r="E22">
        <f>'Project Data'!L23</f>
        <v/>
      </c>
      <c r="F22">
        <f>IF(D22&gt;=0.85,"🟢",IF(D22&lt;0.7,"🔴","🟡"))</f>
        <v/>
      </c>
      <c r="G22">
        <f>'Project Data'!C23</f>
        <v/>
      </c>
      <c r="H22">
        <f>'Project Data'!P23</f>
        <v/>
      </c>
    </row>
    <row r="23">
      <c r="A23">
        <f>'Project Data'!A24</f>
        <v/>
      </c>
      <c r="B23">
        <f>'Project Data'!B24</f>
        <v/>
      </c>
      <c r="C23">
        <f>'Project Data'!E24</f>
        <v/>
      </c>
      <c r="D23" s="13">
        <f>'Project Data'!F24</f>
        <v/>
      </c>
      <c r="E23">
        <f>'Project Data'!L24</f>
        <v/>
      </c>
      <c r="F23">
        <f>IF(D23&gt;=0.85,"🟢",IF(D23&lt;0.7,"🔴","🟡"))</f>
        <v/>
      </c>
      <c r="G23">
        <f>'Project Data'!C24</f>
        <v/>
      </c>
      <c r="H23">
        <f>'Project Data'!P24</f>
        <v/>
      </c>
    </row>
    <row r="24">
      <c r="A24">
        <f>'Project Data'!A25</f>
        <v/>
      </c>
      <c r="B24">
        <f>'Project Data'!B25</f>
        <v/>
      </c>
      <c r="C24">
        <f>'Project Data'!E25</f>
        <v/>
      </c>
      <c r="D24" s="13">
        <f>'Project Data'!F25</f>
        <v/>
      </c>
      <c r="E24">
        <f>'Project Data'!L25</f>
        <v/>
      </c>
      <c r="F24">
        <f>IF(D24&gt;=0.85,"🟢",IF(D24&lt;0.7,"🔴","🟡"))</f>
        <v/>
      </c>
      <c r="G24">
        <f>'Project Data'!C25</f>
        <v/>
      </c>
      <c r="H24">
        <f>'Project Data'!P25</f>
        <v/>
      </c>
    </row>
    <row r="25">
      <c r="A25">
        <f>'Project Data'!A26</f>
        <v/>
      </c>
      <c r="B25">
        <f>'Project Data'!B26</f>
        <v/>
      </c>
      <c r="C25">
        <f>'Project Data'!E26</f>
        <v/>
      </c>
      <c r="D25" s="13">
        <f>'Project Data'!F26</f>
        <v/>
      </c>
      <c r="E25">
        <f>'Project Data'!L26</f>
        <v/>
      </c>
      <c r="F25">
        <f>IF(D25&gt;=0.85,"🟢",IF(D25&lt;0.7,"🔴","🟡"))</f>
        <v/>
      </c>
      <c r="G25">
        <f>'Project Data'!C26</f>
        <v/>
      </c>
      <c r="H25">
        <f>'Project Data'!P26</f>
        <v/>
      </c>
    </row>
    <row r="26">
      <c r="A26">
        <f>'Project Data'!A27</f>
        <v/>
      </c>
      <c r="B26">
        <f>'Project Data'!B27</f>
        <v/>
      </c>
      <c r="C26">
        <f>'Project Data'!E27</f>
        <v/>
      </c>
      <c r="D26" s="13">
        <f>'Project Data'!F27</f>
        <v/>
      </c>
      <c r="E26">
        <f>'Project Data'!L27</f>
        <v/>
      </c>
      <c r="F26">
        <f>IF(D26&gt;=0.85,"🟢",IF(D26&lt;0.7,"🔴","🟡"))</f>
        <v/>
      </c>
      <c r="G26">
        <f>'Project Data'!C27</f>
        <v/>
      </c>
      <c r="H26">
        <f>'Project Data'!P27</f>
        <v/>
      </c>
    </row>
    <row r="27">
      <c r="A27">
        <f>'Project Data'!A28</f>
        <v/>
      </c>
      <c r="B27">
        <f>'Project Data'!B28</f>
        <v/>
      </c>
      <c r="C27">
        <f>'Project Data'!E28</f>
        <v/>
      </c>
      <c r="D27" s="13">
        <f>'Project Data'!F28</f>
        <v/>
      </c>
      <c r="E27">
        <f>'Project Data'!L28</f>
        <v/>
      </c>
      <c r="F27">
        <f>IF(D27&gt;=0.85,"🟢",IF(D27&lt;0.7,"🔴","🟡"))</f>
        <v/>
      </c>
      <c r="G27">
        <f>'Project Data'!C28</f>
        <v/>
      </c>
      <c r="H27">
        <f>'Project Data'!P28</f>
        <v/>
      </c>
    </row>
    <row r="28">
      <c r="A28">
        <f>'Project Data'!A29</f>
        <v/>
      </c>
      <c r="B28">
        <f>'Project Data'!B29</f>
        <v/>
      </c>
      <c r="C28">
        <f>'Project Data'!E29</f>
        <v/>
      </c>
      <c r="D28" s="13">
        <f>'Project Data'!F29</f>
        <v/>
      </c>
      <c r="E28">
        <f>'Project Data'!L29</f>
        <v/>
      </c>
      <c r="F28">
        <f>IF(D28&gt;=0.85,"🟢",IF(D28&lt;0.7,"🔴","🟡"))</f>
        <v/>
      </c>
      <c r="G28">
        <f>'Project Data'!C29</f>
        <v/>
      </c>
      <c r="H28">
        <f>'Project Data'!P29</f>
        <v/>
      </c>
    </row>
    <row r="29">
      <c r="A29">
        <f>'Project Data'!A30</f>
        <v/>
      </c>
      <c r="B29">
        <f>'Project Data'!B30</f>
        <v/>
      </c>
      <c r="C29">
        <f>'Project Data'!E30</f>
        <v/>
      </c>
      <c r="D29" s="13">
        <f>'Project Data'!F30</f>
        <v/>
      </c>
      <c r="E29">
        <f>'Project Data'!L30</f>
        <v/>
      </c>
      <c r="F29">
        <f>IF(D29&gt;=0.85,"🟢",IF(D29&lt;0.7,"🔴","🟡"))</f>
        <v/>
      </c>
      <c r="G29">
        <f>'Project Data'!C30</f>
        <v/>
      </c>
      <c r="H29">
        <f>'Project Data'!P30</f>
        <v/>
      </c>
    </row>
    <row r="30">
      <c r="A30">
        <f>'Project Data'!A31</f>
        <v/>
      </c>
      <c r="B30">
        <f>'Project Data'!B31</f>
        <v/>
      </c>
      <c r="C30">
        <f>'Project Data'!E31</f>
        <v/>
      </c>
      <c r="D30" s="13">
        <f>'Project Data'!F31</f>
        <v/>
      </c>
      <c r="E30">
        <f>'Project Data'!L31</f>
        <v/>
      </c>
      <c r="F30">
        <f>IF(D30&gt;=0.85,"🟢",IF(D30&lt;0.7,"🔴","🟡"))</f>
        <v/>
      </c>
      <c r="G30">
        <f>'Project Data'!C31</f>
        <v/>
      </c>
      <c r="H30">
        <f>'Project Data'!P31</f>
        <v/>
      </c>
    </row>
    <row r="31">
      <c r="A31">
        <f>'Project Data'!A32</f>
        <v/>
      </c>
      <c r="B31">
        <f>'Project Data'!B32</f>
        <v/>
      </c>
      <c r="C31">
        <f>'Project Data'!E32</f>
        <v/>
      </c>
      <c r="D31" s="13">
        <f>'Project Data'!F32</f>
        <v/>
      </c>
      <c r="E31">
        <f>'Project Data'!L32</f>
        <v/>
      </c>
      <c r="F31">
        <f>IF(D31&gt;=0.85,"🟢",IF(D31&lt;0.7,"🔴","🟡"))</f>
        <v/>
      </c>
      <c r="G31">
        <f>'Project Data'!C32</f>
        <v/>
      </c>
      <c r="H31">
        <f>'Project Data'!P32</f>
        <v/>
      </c>
    </row>
    <row r="32">
      <c r="A32">
        <f>'Project Data'!A33</f>
        <v/>
      </c>
      <c r="B32">
        <f>'Project Data'!B33</f>
        <v/>
      </c>
      <c r="C32">
        <f>'Project Data'!E33</f>
        <v/>
      </c>
      <c r="D32" s="13">
        <f>'Project Data'!F33</f>
        <v/>
      </c>
      <c r="E32">
        <f>'Project Data'!L33</f>
        <v/>
      </c>
      <c r="F32">
        <f>IF(D32&gt;=0.85,"🟢",IF(D32&lt;0.7,"🔴","🟡"))</f>
        <v/>
      </c>
      <c r="G32">
        <f>'Project Data'!C33</f>
        <v/>
      </c>
      <c r="H32">
        <f>'Project Data'!P33</f>
        <v/>
      </c>
    </row>
    <row r="33">
      <c r="A33">
        <f>'Project Data'!A34</f>
        <v/>
      </c>
      <c r="B33">
        <f>'Project Data'!B34</f>
        <v/>
      </c>
      <c r="C33">
        <f>'Project Data'!E34</f>
        <v/>
      </c>
      <c r="D33" s="13">
        <f>'Project Data'!F34</f>
        <v/>
      </c>
      <c r="E33">
        <f>'Project Data'!L34</f>
        <v/>
      </c>
      <c r="F33">
        <f>IF(D33&gt;=0.85,"🟢",IF(D33&lt;0.7,"🔴","🟡"))</f>
        <v/>
      </c>
      <c r="G33">
        <f>'Project Data'!C34</f>
        <v/>
      </c>
      <c r="H33">
        <f>'Project Data'!P34</f>
        <v/>
      </c>
    </row>
    <row r="34">
      <c r="A34">
        <f>'Project Data'!A35</f>
        <v/>
      </c>
      <c r="B34">
        <f>'Project Data'!B35</f>
        <v/>
      </c>
      <c r="C34">
        <f>'Project Data'!E35</f>
        <v/>
      </c>
      <c r="D34" s="13">
        <f>'Project Data'!F35</f>
        <v/>
      </c>
      <c r="E34">
        <f>'Project Data'!L35</f>
        <v/>
      </c>
      <c r="F34">
        <f>IF(D34&gt;=0.85,"🟢",IF(D34&lt;0.7,"🔴","🟡"))</f>
        <v/>
      </c>
      <c r="G34">
        <f>'Project Data'!C35</f>
        <v/>
      </c>
      <c r="H34">
        <f>'Project Data'!P35</f>
        <v/>
      </c>
    </row>
    <row r="35">
      <c r="A35">
        <f>'Project Data'!A36</f>
        <v/>
      </c>
      <c r="B35">
        <f>'Project Data'!B36</f>
        <v/>
      </c>
      <c r="C35">
        <f>'Project Data'!E36</f>
        <v/>
      </c>
      <c r="D35" s="13">
        <f>'Project Data'!F36</f>
        <v/>
      </c>
      <c r="E35">
        <f>'Project Data'!L36</f>
        <v/>
      </c>
      <c r="F35">
        <f>IF(D35&gt;=0.85,"🟢",IF(D35&lt;0.7,"🔴","🟡"))</f>
        <v/>
      </c>
      <c r="G35">
        <f>'Project Data'!C36</f>
        <v/>
      </c>
      <c r="H35">
        <f>'Project Data'!P36</f>
        <v/>
      </c>
    </row>
    <row r="36">
      <c r="A36">
        <f>'Project Data'!A37</f>
        <v/>
      </c>
      <c r="B36">
        <f>'Project Data'!B37</f>
        <v/>
      </c>
      <c r="C36">
        <f>'Project Data'!E37</f>
        <v/>
      </c>
      <c r="D36" s="13">
        <f>'Project Data'!F37</f>
        <v/>
      </c>
      <c r="E36">
        <f>'Project Data'!L37</f>
        <v/>
      </c>
      <c r="F36">
        <f>IF(D36&gt;=0.85,"🟢",IF(D36&lt;0.7,"🔴","🟡"))</f>
        <v/>
      </c>
      <c r="G36">
        <f>'Project Data'!C37</f>
        <v/>
      </c>
      <c r="H36">
        <f>'Project Data'!P37</f>
        <v/>
      </c>
    </row>
    <row r="37">
      <c r="A37">
        <f>'Project Data'!A38</f>
        <v/>
      </c>
      <c r="B37">
        <f>'Project Data'!B38</f>
        <v/>
      </c>
      <c r="C37">
        <f>'Project Data'!E38</f>
        <v/>
      </c>
      <c r="D37" s="13">
        <f>'Project Data'!F38</f>
        <v/>
      </c>
      <c r="E37">
        <f>'Project Data'!L38</f>
        <v/>
      </c>
      <c r="F37">
        <f>IF(D37&gt;=0.85,"🟢",IF(D37&lt;0.7,"🔴","🟡"))</f>
        <v/>
      </c>
      <c r="G37">
        <f>'Project Data'!C38</f>
        <v/>
      </c>
      <c r="H37">
        <f>'Project Data'!P38</f>
        <v/>
      </c>
    </row>
    <row r="38">
      <c r="A38">
        <f>'Project Data'!A39</f>
        <v/>
      </c>
      <c r="B38">
        <f>'Project Data'!B39</f>
        <v/>
      </c>
      <c r="C38">
        <f>'Project Data'!E39</f>
        <v/>
      </c>
      <c r="D38" s="13">
        <f>'Project Data'!F39</f>
        <v/>
      </c>
      <c r="E38">
        <f>'Project Data'!L39</f>
        <v/>
      </c>
      <c r="F38">
        <f>IF(D38&gt;=0.85,"🟢",IF(D38&lt;0.7,"🔴","🟡"))</f>
        <v/>
      </c>
      <c r="G38">
        <f>'Project Data'!C39</f>
        <v/>
      </c>
      <c r="H38">
        <f>'Project Data'!P39</f>
        <v/>
      </c>
    </row>
    <row r="39">
      <c r="A39">
        <f>'Project Data'!A40</f>
        <v/>
      </c>
      <c r="B39">
        <f>'Project Data'!B40</f>
        <v/>
      </c>
      <c r="C39">
        <f>'Project Data'!E40</f>
        <v/>
      </c>
      <c r="D39" s="13">
        <f>'Project Data'!F40</f>
        <v/>
      </c>
      <c r="E39">
        <f>'Project Data'!L40</f>
        <v/>
      </c>
      <c r="F39">
        <f>IF(D39&gt;=0.85,"🟢",IF(D39&lt;0.7,"🔴","🟡"))</f>
        <v/>
      </c>
      <c r="G39">
        <f>'Project Data'!C40</f>
        <v/>
      </c>
      <c r="H39">
        <f>'Project Data'!P40</f>
        <v/>
      </c>
    </row>
    <row r="40">
      <c r="A40">
        <f>'Project Data'!A41</f>
        <v/>
      </c>
      <c r="B40">
        <f>'Project Data'!B41</f>
        <v/>
      </c>
      <c r="C40">
        <f>'Project Data'!E41</f>
        <v/>
      </c>
      <c r="D40" s="13">
        <f>'Project Data'!F41</f>
        <v/>
      </c>
      <c r="E40">
        <f>'Project Data'!L41</f>
        <v/>
      </c>
      <c r="F40">
        <f>IF(D40&gt;=0.85,"🟢",IF(D40&lt;0.7,"🔴","🟡"))</f>
        <v/>
      </c>
      <c r="G40">
        <f>'Project Data'!C41</f>
        <v/>
      </c>
      <c r="H40">
        <f>'Project Data'!P41</f>
        <v/>
      </c>
    </row>
    <row r="41">
      <c r="A41">
        <f>'Project Data'!A42</f>
        <v/>
      </c>
      <c r="B41">
        <f>'Project Data'!B42</f>
        <v/>
      </c>
      <c r="C41">
        <f>'Project Data'!E42</f>
        <v/>
      </c>
      <c r="D41" s="13">
        <f>'Project Data'!F42</f>
        <v/>
      </c>
      <c r="E41">
        <f>'Project Data'!L42</f>
        <v/>
      </c>
      <c r="F41">
        <f>IF(D41&gt;=0.85,"🟢",IF(D41&lt;0.7,"🔴","🟡"))</f>
        <v/>
      </c>
      <c r="G41">
        <f>'Project Data'!C42</f>
        <v/>
      </c>
      <c r="H41">
        <f>'Project Data'!P42</f>
        <v/>
      </c>
    </row>
    <row r="42">
      <c r="A42">
        <f>'Project Data'!A43</f>
        <v/>
      </c>
      <c r="B42">
        <f>'Project Data'!B43</f>
        <v/>
      </c>
      <c r="C42">
        <f>'Project Data'!E43</f>
        <v/>
      </c>
      <c r="D42" s="13">
        <f>'Project Data'!F43</f>
        <v/>
      </c>
      <c r="E42">
        <f>'Project Data'!L43</f>
        <v/>
      </c>
      <c r="F42">
        <f>IF(D42&gt;=0.85,"🟢",IF(D42&lt;0.7,"🔴","🟡"))</f>
        <v/>
      </c>
      <c r="G42">
        <f>'Project Data'!C43</f>
        <v/>
      </c>
      <c r="H42">
        <f>'Project Data'!P43</f>
        <v/>
      </c>
    </row>
    <row r="43">
      <c r="A43">
        <f>'Project Data'!A44</f>
        <v/>
      </c>
      <c r="B43">
        <f>'Project Data'!B44</f>
        <v/>
      </c>
      <c r="C43">
        <f>'Project Data'!E44</f>
        <v/>
      </c>
      <c r="D43" s="13">
        <f>'Project Data'!F44</f>
        <v/>
      </c>
      <c r="E43">
        <f>'Project Data'!L44</f>
        <v/>
      </c>
      <c r="F43">
        <f>IF(D43&gt;=0.85,"🟢",IF(D43&lt;0.7,"🔴","🟡"))</f>
        <v/>
      </c>
      <c r="G43">
        <f>'Project Data'!C44</f>
        <v/>
      </c>
      <c r="H43">
        <f>'Project Data'!P44</f>
        <v/>
      </c>
    </row>
    <row r="44">
      <c r="A44">
        <f>'Project Data'!A45</f>
        <v/>
      </c>
      <c r="B44">
        <f>'Project Data'!B45</f>
        <v/>
      </c>
      <c r="C44">
        <f>'Project Data'!E45</f>
        <v/>
      </c>
      <c r="D44" s="13">
        <f>'Project Data'!F45</f>
        <v/>
      </c>
      <c r="E44">
        <f>'Project Data'!L45</f>
        <v/>
      </c>
      <c r="F44">
        <f>IF(D44&gt;=0.85,"🟢",IF(D44&lt;0.7,"🔴","🟡"))</f>
        <v/>
      </c>
      <c r="G44">
        <f>'Project Data'!C45</f>
        <v/>
      </c>
      <c r="H44">
        <f>'Project Data'!P45</f>
        <v/>
      </c>
    </row>
    <row r="45">
      <c r="A45">
        <f>'Project Data'!A46</f>
        <v/>
      </c>
      <c r="B45">
        <f>'Project Data'!B46</f>
        <v/>
      </c>
      <c r="C45">
        <f>'Project Data'!E46</f>
        <v/>
      </c>
      <c r="D45" s="13">
        <f>'Project Data'!F46</f>
        <v/>
      </c>
      <c r="E45">
        <f>'Project Data'!L46</f>
        <v/>
      </c>
      <c r="F45">
        <f>IF(D45&gt;=0.85,"🟢",IF(D45&lt;0.7,"🔴","🟡"))</f>
        <v/>
      </c>
      <c r="G45">
        <f>'Project Data'!C46</f>
        <v/>
      </c>
      <c r="H45">
        <f>'Project Data'!P46</f>
        <v/>
      </c>
    </row>
    <row r="46">
      <c r="A46">
        <f>'Project Data'!A47</f>
        <v/>
      </c>
      <c r="B46">
        <f>'Project Data'!B47</f>
        <v/>
      </c>
      <c r="C46">
        <f>'Project Data'!E47</f>
        <v/>
      </c>
      <c r="D46" s="13">
        <f>'Project Data'!F47</f>
        <v/>
      </c>
      <c r="E46">
        <f>'Project Data'!L47</f>
        <v/>
      </c>
      <c r="F46">
        <f>IF(D46&gt;=0.85,"🟢",IF(D46&lt;0.7,"🔴","🟡"))</f>
        <v/>
      </c>
      <c r="G46">
        <f>'Project Data'!C47</f>
        <v/>
      </c>
      <c r="H46">
        <f>'Project Data'!P47</f>
        <v/>
      </c>
    </row>
    <row r="47">
      <c r="A47">
        <f>'Project Data'!A48</f>
        <v/>
      </c>
      <c r="B47">
        <f>'Project Data'!B48</f>
        <v/>
      </c>
      <c r="C47">
        <f>'Project Data'!E48</f>
        <v/>
      </c>
      <c r="D47" s="13">
        <f>'Project Data'!F48</f>
        <v/>
      </c>
      <c r="E47">
        <f>'Project Data'!L48</f>
        <v/>
      </c>
      <c r="F47">
        <f>IF(D47&gt;=0.85,"🟢",IF(D47&lt;0.7,"🔴","🟡"))</f>
        <v/>
      </c>
      <c r="G47">
        <f>'Project Data'!C48</f>
        <v/>
      </c>
      <c r="H47">
        <f>'Project Data'!P48</f>
        <v/>
      </c>
    </row>
    <row r="48">
      <c r="A48">
        <f>'Project Data'!A49</f>
        <v/>
      </c>
      <c r="B48">
        <f>'Project Data'!B49</f>
        <v/>
      </c>
      <c r="C48">
        <f>'Project Data'!E49</f>
        <v/>
      </c>
      <c r="D48" s="13">
        <f>'Project Data'!F49</f>
        <v/>
      </c>
      <c r="E48">
        <f>'Project Data'!L49</f>
        <v/>
      </c>
      <c r="F48">
        <f>IF(D48&gt;=0.85,"🟢",IF(D48&lt;0.7,"🔴","🟡"))</f>
        <v/>
      </c>
      <c r="G48">
        <f>'Project Data'!C49</f>
        <v/>
      </c>
      <c r="H48">
        <f>'Project Data'!P49</f>
        <v/>
      </c>
    </row>
    <row r="49">
      <c r="A49">
        <f>'Project Data'!A50</f>
        <v/>
      </c>
      <c r="B49">
        <f>'Project Data'!B50</f>
        <v/>
      </c>
      <c r="C49">
        <f>'Project Data'!E50</f>
        <v/>
      </c>
      <c r="D49" s="13">
        <f>'Project Data'!F50</f>
        <v/>
      </c>
      <c r="E49">
        <f>'Project Data'!L50</f>
        <v/>
      </c>
      <c r="F49">
        <f>IF(D49&gt;=0.85,"🟢",IF(D49&lt;0.7,"🔴","🟡"))</f>
        <v/>
      </c>
      <c r="G49">
        <f>'Project Data'!C50</f>
        <v/>
      </c>
      <c r="H49">
        <f>'Project Data'!P50</f>
        <v/>
      </c>
    </row>
    <row r="50">
      <c r="A50">
        <f>'Project Data'!A51</f>
        <v/>
      </c>
      <c r="B50">
        <f>'Project Data'!B51</f>
        <v/>
      </c>
      <c r="C50">
        <f>'Project Data'!E51</f>
        <v/>
      </c>
      <c r="D50" s="13">
        <f>'Project Data'!F51</f>
        <v/>
      </c>
      <c r="E50">
        <f>'Project Data'!L51</f>
        <v/>
      </c>
      <c r="F50">
        <f>IF(D50&gt;=0.85,"🟢",IF(D50&lt;0.7,"🔴","🟡"))</f>
        <v/>
      </c>
      <c r="G50">
        <f>'Project Data'!C51</f>
        <v/>
      </c>
      <c r="H50">
        <f>'Project Data'!P51</f>
        <v/>
      </c>
    </row>
    <row r="51">
      <c r="A51">
        <f>'Project Data'!A52</f>
        <v/>
      </c>
      <c r="B51">
        <f>'Project Data'!B52</f>
        <v/>
      </c>
      <c r="C51">
        <f>'Project Data'!E52</f>
        <v/>
      </c>
      <c r="D51" s="13">
        <f>'Project Data'!F52</f>
        <v/>
      </c>
      <c r="E51">
        <f>'Project Data'!L52</f>
        <v/>
      </c>
      <c r="F51">
        <f>IF(D51&gt;=0.85,"🟢",IF(D51&lt;0.7,"🔴","🟡"))</f>
        <v/>
      </c>
      <c r="G51">
        <f>'Project Data'!C52</f>
        <v/>
      </c>
      <c r="H51">
        <f>'Project Data'!P52</f>
        <v/>
      </c>
    </row>
    <row r="52">
      <c r="A52">
        <f>'Project Data'!A53</f>
        <v/>
      </c>
      <c r="B52">
        <f>'Project Data'!B53</f>
        <v/>
      </c>
      <c r="C52">
        <f>'Project Data'!E53</f>
        <v/>
      </c>
      <c r="D52" s="13">
        <f>'Project Data'!F53</f>
        <v/>
      </c>
      <c r="E52">
        <f>'Project Data'!L53</f>
        <v/>
      </c>
      <c r="F52">
        <f>IF(D52&gt;=0.85,"🟢",IF(D52&lt;0.7,"🔴","🟡"))</f>
        <v/>
      </c>
      <c r="G52">
        <f>'Project Data'!C53</f>
        <v/>
      </c>
      <c r="H52">
        <f>'Project Data'!P53</f>
        <v/>
      </c>
    </row>
    <row r="53">
      <c r="A53">
        <f>'Project Data'!A54</f>
        <v/>
      </c>
      <c r="B53">
        <f>'Project Data'!B54</f>
        <v/>
      </c>
      <c r="C53">
        <f>'Project Data'!E54</f>
        <v/>
      </c>
      <c r="D53" s="13">
        <f>'Project Data'!F54</f>
        <v/>
      </c>
      <c r="E53">
        <f>'Project Data'!L54</f>
        <v/>
      </c>
      <c r="F53">
        <f>IF(D53&gt;=0.85,"🟢",IF(D53&lt;0.7,"🔴","🟡"))</f>
        <v/>
      </c>
      <c r="G53">
        <f>'Project Data'!C54</f>
        <v/>
      </c>
      <c r="H53">
        <f>'Project Data'!P54</f>
        <v/>
      </c>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25" customWidth="1" min="1" max="1"/>
    <col width="50" customWidth="1" min="2" max="2"/>
    <col width="12" customWidth="1" min="3" max="3"/>
    <col width="15" customWidth="1" min="4" max="4"/>
    <col width="50" customWidth="1" min="5" max="5"/>
  </cols>
  <sheetData>
    <row r="1" ht="30" customHeight="1">
      <c r="A1" s="1" t="inlineStr">
        <is>
          <t>GAP ANALYSIS\nCommon Security Gaps Across Portfolio</t>
        </is>
      </c>
    </row>
    <row r="3">
      <c r="A3" s="12" t="inlineStr">
        <is>
          <t>Gap Category</t>
        </is>
      </c>
      <c r="B3" s="12" t="inlineStr">
        <is>
          <t>Description</t>
        </is>
      </c>
      <c r="C3" s="12" t="inlineStr">
        <is>
          <t>Frequency</t>
        </is>
      </c>
      <c r="D3" s="12" t="inlineStr">
        <is>
          <t>Impact</t>
        </is>
      </c>
      <c r="E3" s="12" t="inlineStr">
        <is>
          <t>Recommended Action</t>
        </is>
      </c>
    </row>
    <row r="4">
      <c r="A4" s="5" t="n"/>
      <c r="B4" s="5" t="n"/>
      <c r="C4" s="5" t="n"/>
      <c r="D4" s="5" t="n"/>
      <c r="E4" s="5" t="n"/>
    </row>
    <row r="5">
      <c r="A5" s="5" t="n"/>
      <c r="B5" s="5" t="n"/>
      <c r="C5" s="5" t="n"/>
      <c r="D5" s="5" t="n"/>
      <c r="E5" s="5" t="n"/>
    </row>
    <row r="6">
      <c r="A6" s="5" t="n"/>
      <c r="B6" s="5" t="n"/>
      <c r="C6" s="5" t="n"/>
      <c r="D6" s="5" t="n"/>
      <c r="E6" s="5" t="n"/>
    </row>
    <row r="7">
      <c r="A7" s="5" t="n"/>
      <c r="B7" s="5" t="n"/>
      <c r="C7" s="5" t="n"/>
      <c r="D7" s="5" t="n"/>
      <c r="E7" s="5" t="n"/>
    </row>
    <row r="8">
      <c r="A8" s="5" t="n"/>
      <c r="B8" s="5" t="n"/>
      <c r="C8" s="5" t="n"/>
      <c r="D8" s="5" t="n"/>
      <c r="E8" s="5" t="n"/>
    </row>
    <row r="9">
      <c r="A9" s="5" t="n"/>
      <c r="B9" s="5" t="n"/>
      <c r="C9" s="5" t="n"/>
      <c r="D9" s="5" t="n"/>
      <c r="E9" s="5" t="n"/>
    </row>
    <row r="10">
      <c r="A10" s="5" t="n"/>
      <c r="B10" s="5" t="n"/>
      <c r="C10" s="5" t="n"/>
      <c r="D10" s="5" t="n"/>
      <c r="E10" s="5" t="n"/>
    </row>
    <row r="11">
      <c r="A11" s="5" t="n"/>
      <c r="B11" s="5" t="n"/>
      <c r="C11" s="5" t="n"/>
      <c r="D11" s="5" t="n"/>
      <c r="E11" s="5" t="n"/>
    </row>
    <row r="12">
      <c r="A12" s="5" t="n"/>
      <c r="B12" s="5" t="n"/>
      <c r="C12" s="5" t="n"/>
      <c r="D12" s="5" t="n"/>
      <c r="E12" s="5" t="n"/>
    </row>
    <row r="13">
      <c r="A13" s="5" t="n"/>
      <c r="B13" s="5" t="n"/>
      <c r="C13" s="5" t="n"/>
      <c r="D13" s="5" t="n"/>
      <c r="E13" s="5" t="n"/>
    </row>
    <row r="14">
      <c r="A14" s="5" t="n"/>
      <c r="B14" s="5" t="n"/>
      <c r="C14" s="5" t="n"/>
      <c r="D14" s="5" t="n"/>
      <c r="E14" s="5" t="n"/>
    </row>
    <row r="15">
      <c r="A15" s="5" t="n"/>
      <c r="B15" s="5" t="n"/>
      <c r="C15" s="5" t="n"/>
      <c r="D15" s="5" t="n"/>
      <c r="E15" s="5" t="n"/>
    </row>
    <row r="16">
      <c r="A16" s="5" t="n"/>
      <c r="B16" s="5" t="n"/>
      <c r="C16" s="5" t="n"/>
      <c r="D16" s="5" t="n"/>
      <c r="E16" s="5" t="n"/>
    </row>
    <row r="17">
      <c r="A17" s="5" t="n"/>
      <c r="B17" s="5" t="n"/>
      <c r="C17" s="5" t="n"/>
      <c r="D17" s="5" t="n"/>
      <c r="E17" s="5" t="n"/>
    </row>
    <row r="18">
      <c r="A18" s="5" t="n"/>
      <c r="B18" s="5" t="n"/>
      <c r="C18" s="5" t="n"/>
      <c r="D18" s="5" t="n"/>
      <c r="E18" s="5" t="n"/>
    </row>
    <row r="19">
      <c r="A19" s="5" t="n"/>
      <c r="B19" s="5" t="n"/>
      <c r="C19" s="5" t="n"/>
      <c r="D19" s="5" t="n"/>
      <c r="E19" s="5" t="n"/>
    </row>
    <row r="20">
      <c r="A20" s="5" t="n"/>
      <c r="B20" s="5" t="n"/>
      <c r="C20" s="5" t="n"/>
      <c r="D20" s="5" t="n"/>
      <c r="E20" s="5" t="n"/>
    </row>
    <row r="21">
      <c r="A21" s="5" t="n"/>
      <c r="B21" s="5" t="n"/>
      <c r="C21" s="5" t="n"/>
      <c r="D21" s="5" t="n"/>
      <c r="E21" s="5" t="n"/>
    </row>
    <row r="22">
      <c r="A22" s="5" t="n"/>
      <c r="B22" s="5" t="n"/>
      <c r="C22" s="5" t="n"/>
      <c r="D22" s="5" t="n"/>
      <c r="E22" s="5" t="n"/>
    </row>
    <row r="23">
      <c r="A23" s="5" t="n"/>
      <c r="B23" s="5" t="n"/>
      <c r="C23" s="5" t="n"/>
      <c r="D23" s="5" t="n"/>
      <c r="E23" s="5" t="n"/>
    </row>
    <row r="24">
      <c r="A24" s="5" t="n"/>
      <c r="B24" s="5" t="n"/>
      <c r="C24" s="5" t="n"/>
      <c r="D24" s="5" t="n"/>
      <c r="E24" s="5" t="n"/>
    </row>
    <row r="25">
      <c r="A25" s="5" t="n"/>
      <c r="B25" s="5" t="n"/>
      <c r="C25" s="5" t="n"/>
      <c r="D25" s="5" t="n"/>
      <c r="E25" s="5" t="n"/>
    </row>
    <row r="26">
      <c r="A26" s="5" t="n"/>
      <c r="B26" s="5" t="n"/>
      <c r="C26" s="5" t="n"/>
      <c r="D26" s="5" t="n"/>
      <c r="E26" s="5" t="n"/>
    </row>
    <row r="27">
      <c r="A27" s="5" t="n"/>
      <c r="B27" s="5" t="n"/>
      <c r="C27" s="5" t="n"/>
      <c r="D27" s="5" t="n"/>
      <c r="E27" s="5" t="n"/>
    </row>
    <row r="28">
      <c r="A28" s="5" t="n"/>
      <c r="B28" s="5" t="n"/>
      <c r="C28" s="5" t="n"/>
      <c r="D28" s="5" t="n"/>
      <c r="E28" s="5" t="n"/>
    </row>
    <row r="29">
      <c r="A29" s="5" t="n"/>
      <c r="B29" s="5" t="n"/>
      <c r="C29" s="5" t="n"/>
      <c r="D29" s="5" t="n"/>
      <c r="E29" s="5" t="n"/>
    </row>
    <row r="30">
      <c r="A30" s="5" t="n"/>
      <c r="B30" s="5" t="n"/>
      <c r="C30" s="5" t="n"/>
      <c r="D30" s="5" t="n"/>
      <c r="E30" s="5" t="n"/>
    </row>
    <row r="31">
      <c r="A31" s="5" t="n"/>
      <c r="B31" s="5" t="n"/>
      <c r="C31" s="5" t="n"/>
      <c r="D31" s="5" t="n"/>
      <c r="E31" s="5" t="n"/>
    </row>
    <row r="32">
      <c r="A32" s="5" t="n"/>
      <c r="B32" s="5" t="n"/>
      <c r="C32" s="5" t="n"/>
      <c r="D32" s="5" t="n"/>
      <c r="E32" s="5" t="n"/>
    </row>
    <row r="33">
      <c r="A33" s="5" t="n"/>
      <c r="B33" s="5" t="n"/>
      <c r="C33" s="5" t="n"/>
      <c r="D33" s="5" t="n"/>
      <c r="E33" s="5" t="n"/>
    </row>
  </sheetData>
  <mergeCells count="1">
    <mergeCell ref="A1:E1"/>
  </mergeCells>
  <dataValidations count="1">
    <dataValidation sqref="D4 D5 D6 D7 D8 D9 D10 D11 D12 D13 D14 D15 D16 D17 D18 D19 D20 D21 D22 D23 D24 D25 D26 D27 D28 D29 D30 D31 D32 D33" showDropDown="0" showInputMessage="0" showErrorMessage="0" allowBlank="0" type="list">
      <formula1>"Critical,High,Medium,Low"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s>
  <sheetData>
    <row r="1" ht="30" customHeight="1">
      <c r="A1" s="1" t="inlineStr">
        <is>
          <t>TREND ANALYSIS\nQuarter-over-Quarter Compliance Trends</t>
        </is>
      </c>
    </row>
    <row r="3">
      <c r="A3" s="12" t="inlineStr">
        <is>
          <t>Quarter</t>
        </is>
      </c>
      <c r="B3" s="12" t="inlineStr">
        <is>
          <t>Total Projects</t>
        </is>
      </c>
      <c r="C3" s="12" t="inlineStr">
        <is>
          <t>Avg Compliance %</t>
        </is>
      </c>
      <c r="D3" s="12" t="inlineStr">
        <is>
          <t>High Risk Avg</t>
        </is>
      </c>
      <c r="E3" s="12" t="inlineStr">
        <is>
          <t>Medium Risk Avg</t>
        </is>
      </c>
      <c r="F3" s="12" t="inlineStr">
        <is>
          <t>Low Risk Avg</t>
        </is>
      </c>
    </row>
    <row r="4">
      <c r="A4" s="5" t="n"/>
      <c r="B4" s="5" t="n"/>
      <c r="C4" s="6" t="n"/>
      <c r="D4" s="6" t="n"/>
      <c r="E4" s="6" t="n"/>
      <c r="F4" s="6" t="n"/>
    </row>
    <row r="5">
      <c r="A5" s="5" t="n"/>
      <c r="B5" s="5" t="n"/>
      <c r="C5" s="6" t="n"/>
      <c r="D5" s="6" t="n"/>
      <c r="E5" s="6" t="n"/>
      <c r="F5" s="6" t="n"/>
    </row>
    <row r="6">
      <c r="A6" s="5" t="n"/>
      <c r="B6" s="5" t="n"/>
      <c r="C6" s="6" t="n"/>
      <c r="D6" s="6" t="n"/>
      <c r="E6" s="6" t="n"/>
      <c r="F6" s="6" t="n"/>
    </row>
    <row r="7">
      <c r="A7" s="5" t="n"/>
      <c r="B7" s="5" t="n"/>
      <c r="C7" s="6" t="n"/>
      <c r="D7" s="6" t="n"/>
      <c r="E7" s="6" t="n"/>
      <c r="F7" s="6" t="n"/>
    </row>
    <row r="8">
      <c r="A8" s="5" t="n"/>
      <c r="B8" s="5" t="n"/>
      <c r="C8" s="6" t="n"/>
      <c r="D8" s="6" t="n"/>
      <c r="E8" s="6" t="n"/>
      <c r="F8" s="6" t="n"/>
    </row>
    <row r="9">
      <c r="A9" s="5" t="n"/>
      <c r="B9" s="5" t="n"/>
      <c r="C9" s="6" t="n"/>
      <c r="D9" s="6" t="n"/>
      <c r="E9" s="6" t="n"/>
      <c r="F9" s="6" t="n"/>
    </row>
    <row r="10">
      <c r="A10" s="5" t="n"/>
      <c r="B10" s="5" t="n"/>
      <c r="C10" s="6" t="n"/>
      <c r="D10" s="6" t="n"/>
      <c r="E10" s="6" t="n"/>
      <c r="F10" s="6" t="n"/>
    </row>
    <row r="11">
      <c r="A11" s="5" t="n"/>
      <c r="B11" s="5" t="n"/>
      <c r="C11" s="6" t="n"/>
      <c r="D11" s="6" t="n"/>
      <c r="E11" s="6" t="n"/>
      <c r="F11" s="6" t="n"/>
    </row>
    <row r="12">
      <c r="A12" s="5" t="n"/>
      <c r="B12" s="5" t="n"/>
      <c r="C12" s="6" t="n"/>
      <c r="D12" s="6" t="n"/>
      <c r="E12" s="6" t="n"/>
      <c r="F12" s="6" t="n"/>
    </row>
    <row r="13">
      <c r="A13" s="5" t="n"/>
      <c r="B13" s="5" t="n"/>
      <c r="C13" s="6" t="n"/>
      <c r="D13" s="6" t="n"/>
      <c r="E13" s="6" t="n"/>
      <c r="F13" s="6" t="n"/>
    </row>
    <row r="14">
      <c r="A14" s="5" t="n"/>
      <c r="B14" s="5" t="n"/>
      <c r="C14" s="6" t="n"/>
      <c r="D14" s="6" t="n"/>
      <c r="E14" s="6" t="n"/>
      <c r="F14" s="6" t="n"/>
    </row>
    <row r="15">
      <c r="A15" s="5" t="n"/>
      <c r="B15" s="5" t="n"/>
      <c r="C15" s="6" t="n"/>
      <c r="D15" s="6" t="n"/>
      <c r="E15" s="6" t="n"/>
      <c r="F15" s="6" t="n"/>
    </row>
  </sheetData>
  <mergeCells count="1">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cols>
    <col width="12" customWidth="1" min="1" max="1"/>
    <col width="30" customWidth="1" min="2" max="2"/>
    <col width="12" customWidth="1" min="3" max="3"/>
    <col width="12" customWidth="1" min="4" max="4"/>
    <col width="12" customWidth="1" min="5" max="5"/>
    <col width="50" customWidth="1" min="6" max="6"/>
  </cols>
  <sheetData>
    <row r="1" ht="35" customHeight="1">
      <c r="A1" s="1" t="inlineStr">
        <is>
          <t>RISK PRIORITIZATION MATRIX\nP1 Critical → P2 High → P3 Medium → P4 Low</t>
        </is>
      </c>
    </row>
    <row r="3">
      <c r="A3" s="12" t="inlineStr">
        <is>
          <t>Priority</t>
        </is>
      </c>
      <c r="B3" s="12" t="inlineStr">
        <is>
          <t>Project Name</t>
        </is>
      </c>
      <c r="C3" s="12" t="inlineStr">
        <is>
          <t>Classification</t>
        </is>
      </c>
      <c r="D3" s="12" t="inlineStr">
        <is>
          <t>Compliance %</t>
        </is>
      </c>
      <c r="E3" s="12" t="inlineStr">
        <is>
          <t>Critical Gaps</t>
        </is>
      </c>
      <c r="F3" s="12" t="inlineStr">
        <is>
          <t>Action Required</t>
        </is>
      </c>
    </row>
    <row r="4">
      <c r="A4" s="5" t="n"/>
      <c r="B4" s="5" t="n"/>
      <c r="C4" s="5" t="n"/>
      <c r="D4" s="6" t="n"/>
      <c r="E4" s="5" t="n"/>
      <c r="F4" s="5" t="n"/>
    </row>
    <row r="5">
      <c r="A5" s="5" t="n"/>
      <c r="B5" s="5" t="n"/>
      <c r="C5" s="5" t="n"/>
      <c r="D5" s="6" t="n"/>
      <c r="E5" s="5" t="n"/>
      <c r="F5" s="5" t="n"/>
    </row>
    <row r="6">
      <c r="A6" s="5" t="n"/>
      <c r="B6" s="5" t="n"/>
      <c r="C6" s="5" t="n"/>
      <c r="D6" s="6" t="n"/>
      <c r="E6" s="5" t="n"/>
      <c r="F6" s="5" t="n"/>
    </row>
    <row r="7">
      <c r="A7" s="5" t="n"/>
      <c r="B7" s="5" t="n"/>
      <c r="C7" s="5" t="n"/>
      <c r="D7" s="6" t="n"/>
      <c r="E7" s="5" t="n"/>
      <c r="F7" s="5" t="n"/>
    </row>
    <row r="8">
      <c r="A8" s="5" t="n"/>
      <c r="B8" s="5" t="n"/>
      <c r="C8" s="5" t="n"/>
      <c r="D8" s="6" t="n"/>
      <c r="E8" s="5" t="n"/>
      <c r="F8" s="5" t="n"/>
    </row>
    <row r="9">
      <c r="A9" s="5" t="n"/>
      <c r="B9" s="5" t="n"/>
      <c r="C9" s="5" t="n"/>
      <c r="D9" s="6" t="n"/>
      <c r="E9" s="5" t="n"/>
      <c r="F9" s="5" t="n"/>
    </row>
    <row r="10">
      <c r="A10" s="5" t="n"/>
      <c r="B10" s="5" t="n"/>
      <c r="C10" s="5" t="n"/>
      <c r="D10" s="6" t="n"/>
      <c r="E10" s="5" t="n"/>
      <c r="F10" s="5" t="n"/>
    </row>
    <row r="11">
      <c r="A11" s="5" t="n"/>
      <c r="B11" s="5" t="n"/>
      <c r="C11" s="5" t="n"/>
      <c r="D11" s="6" t="n"/>
      <c r="E11" s="5" t="n"/>
      <c r="F11" s="5" t="n"/>
    </row>
    <row r="12">
      <c r="A12" s="5" t="n"/>
      <c r="B12" s="5" t="n"/>
      <c r="C12" s="5" t="n"/>
      <c r="D12" s="6" t="n"/>
      <c r="E12" s="5" t="n"/>
      <c r="F12" s="5" t="n"/>
    </row>
    <row r="13">
      <c r="A13" s="5" t="n"/>
      <c r="B13" s="5" t="n"/>
      <c r="C13" s="5" t="n"/>
      <c r="D13" s="6" t="n"/>
      <c r="E13" s="5" t="n"/>
      <c r="F13" s="5" t="n"/>
    </row>
    <row r="14">
      <c r="A14" s="5" t="n"/>
      <c r="B14" s="5" t="n"/>
      <c r="C14" s="5" t="n"/>
      <c r="D14" s="6" t="n"/>
      <c r="E14" s="5" t="n"/>
      <c r="F14" s="5" t="n"/>
    </row>
    <row r="15">
      <c r="A15" s="5" t="n"/>
      <c r="B15" s="5" t="n"/>
      <c r="C15" s="5" t="n"/>
      <c r="D15" s="6" t="n"/>
      <c r="E15" s="5" t="n"/>
      <c r="F15" s="5" t="n"/>
    </row>
    <row r="16">
      <c r="A16" s="5" t="n"/>
      <c r="B16" s="5" t="n"/>
      <c r="C16" s="5" t="n"/>
      <c r="D16" s="6" t="n"/>
      <c r="E16" s="5" t="n"/>
      <c r="F16" s="5" t="n"/>
    </row>
    <row r="17">
      <c r="A17" s="5" t="n"/>
      <c r="B17" s="5" t="n"/>
      <c r="C17" s="5" t="n"/>
      <c r="D17" s="6" t="n"/>
      <c r="E17" s="5" t="n"/>
      <c r="F17" s="5" t="n"/>
    </row>
    <row r="18">
      <c r="A18" s="5" t="n"/>
      <c r="B18" s="5" t="n"/>
      <c r="C18" s="5" t="n"/>
      <c r="D18" s="6" t="n"/>
      <c r="E18" s="5" t="n"/>
      <c r="F18" s="5" t="n"/>
    </row>
    <row r="19">
      <c r="A19" s="5" t="n"/>
      <c r="B19" s="5" t="n"/>
      <c r="C19" s="5" t="n"/>
      <c r="D19" s="6" t="n"/>
      <c r="E19" s="5" t="n"/>
      <c r="F19" s="5" t="n"/>
    </row>
    <row r="20">
      <c r="A20" s="5" t="n"/>
      <c r="B20" s="5" t="n"/>
      <c r="C20" s="5" t="n"/>
      <c r="D20" s="6" t="n"/>
      <c r="E20" s="5" t="n"/>
      <c r="F20" s="5" t="n"/>
    </row>
    <row r="21">
      <c r="A21" s="5" t="n"/>
      <c r="B21" s="5" t="n"/>
      <c r="C21" s="5" t="n"/>
      <c r="D21" s="6" t="n"/>
      <c r="E21" s="5" t="n"/>
      <c r="F21" s="5" t="n"/>
    </row>
    <row r="22">
      <c r="A22" s="5" t="n"/>
      <c r="B22" s="5" t="n"/>
      <c r="C22" s="5" t="n"/>
      <c r="D22" s="6" t="n"/>
      <c r="E22" s="5" t="n"/>
      <c r="F22" s="5" t="n"/>
    </row>
    <row r="23">
      <c r="A23" s="5" t="n"/>
      <c r="B23" s="5" t="n"/>
      <c r="C23" s="5" t="n"/>
      <c r="D23" s="6" t="n"/>
      <c r="E23" s="5" t="n"/>
      <c r="F23" s="5" t="n"/>
    </row>
    <row r="24">
      <c r="A24" s="5" t="n"/>
      <c r="B24" s="5" t="n"/>
      <c r="C24" s="5" t="n"/>
      <c r="D24" s="6" t="n"/>
      <c r="E24" s="5" t="n"/>
      <c r="F24" s="5" t="n"/>
    </row>
    <row r="25">
      <c r="A25" s="5" t="n"/>
      <c r="B25" s="5" t="n"/>
      <c r="C25" s="5" t="n"/>
      <c r="D25" s="6" t="n"/>
      <c r="E25" s="5" t="n"/>
      <c r="F25" s="5" t="n"/>
    </row>
    <row r="26">
      <c r="A26" s="5" t="n"/>
      <c r="B26" s="5" t="n"/>
      <c r="C26" s="5" t="n"/>
      <c r="D26" s="6" t="n"/>
      <c r="E26" s="5" t="n"/>
      <c r="F26" s="5" t="n"/>
    </row>
    <row r="27">
      <c r="A27" s="5" t="n"/>
      <c r="B27" s="5" t="n"/>
      <c r="C27" s="5" t="n"/>
      <c r="D27" s="6" t="n"/>
      <c r="E27" s="5" t="n"/>
      <c r="F27" s="5" t="n"/>
    </row>
    <row r="28">
      <c r="A28" s="5" t="n"/>
      <c r="B28" s="5" t="n"/>
      <c r="C28" s="5" t="n"/>
      <c r="D28" s="6" t="n"/>
      <c r="E28" s="5" t="n"/>
      <c r="F28" s="5" t="n"/>
    </row>
    <row r="29">
      <c r="A29" s="5" t="n"/>
      <c r="B29" s="5" t="n"/>
      <c r="C29" s="5" t="n"/>
      <c r="D29" s="6" t="n"/>
      <c r="E29" s="5" t="n"/>
      <c r="F29" s="5" t="n"/>
    </row>
    <row r="30">
      <c r="A30" s="5" t="n"/>
      <c r="B30" s="5" t="n"/>
      <c r="C30" s="5" t="n"/>
      <c r="D30" s="6" t="n"/>
      <c r="E30" s="5" t="n"/>
      <c r="F30" s="5" t="n"/>
    </row>
    <row r="31">
      <c r="A31" s="5" t="n"/>
      <c r="B31" s="5" t="n"/>
      <c r="C31" s="5" t="n"/>
      <c r="D31" s="6" t="n"/>
      <c r="E31" s="5" t="n"/>
      <c r="F31" s="5" t="n"/>
    </row>
    <row r="32">
      <c r="A32" s="5" t="n"/>
      <c r="B32" s="5" t="n"/>
      <c r="C32" s="5" t="n"/>
      <c r="D32" s="6" t="n"/>
      <c r="E32" s="5" t="n"/>
      <c r="F32" s="5" t="n"/>
    </row>
    <row r="33">
      <c r="A33" s="5" t="n"/>
      <c r="B33" s="5" t="n"/>
      <c r="C33" s="5" t="n"/>
      <c r="D33" s="6" t="n"/>
      <c r="E33" s="5" t="n"/>
      <c r="F33" s="5" t="n"/>
    </row>
    <row r="34">
      <c r="A34" s="5" t="n"/>
      <c r="B34" s="5" t="n"/>
      <c r="C34" s="5" t="n"/>
      <c r="D34" s="6" t="n"/>
      <c r="E34" s="5" t="n"/>
      <c r="F34" s="5" t="n"/>
    </row>
    <row r="35">
      <c r="A35" s="5" t="n"/>
      <c r="B35" s="5" t="n"/>
      <c r="C35" s="5" t="n"/>
      <c r="D35" s="6" t="n"/>
      <c r="E35" s="5" t="n"/>
      <c r="F35" s="5" t="n"/>
    </row>
    <row r="36">
      <c r="A36" s="5" t="n"/>
      <c r="B36" s="5" t="n"/>
      <c r="C36" s="5" t="n"/>
      <c r="D36" s="6" t="n"/>
      <c r="E36" s="5" t="n"/>
      <c r="F36" s="5" t="n"/>
    </row>
    <row r="37">
      <c r="A37" s="5" t="n"/>
      <c r="B37" s="5" t="n"/>
      <c r="C37" s="5" t="n"/>
      <c r="D37" s="6" t="n"/>
      <c r="E37" s="5" t="n"/>
      <c r="F37" s="5" t="n"/>
    </row>
    <row r="38">
      <c r="A38" s="5" t="n"/>
      <c r="B38" s="5" t="n"/>
      <c r="C38" s="5" t="n"/>
      <c r="D38" s="6" t="n"/>
      <c r="E38" s="5" t="n"/>
      <c r="F38" s="5" t="n"/>
    </row>
    <row r="39">
      <c r="A39" s="5" t="n"/>
      <c r="B39" s="5" t="n"/>
      <c r="C39" s="5" t="n"/>
      <c r="D39" s="6" t="n"/>
      <c r="E39" s="5" t="n"/>
      <c r="F39" s="5" t="n"/>
    </row>
    <row r="40">
      <c r="A40" s="5" t="n"/>
      <c r="B40" s="5" t="n"/>
      <c r="C40" s="5" t="n"/>
      <c r="D40" s="6" t="n"/>
      <c r="E40" s="5" t="n"/>
      <c r="F40" s="5" t="n"/>
    </row>
    <row r="41">
      <c r="A41" s="5" t="n"/>
      <c r="B41" s="5" t="n"/>
      <c r="C41" s="5" t="n"/>
      <c r="D41" s="6" t="n"/>
      <c r="E41" s="5" t="n"/>
      <c r="F41" s="5" t="n"/>
    </row>
    <row r="42">
      <c r="A42" s="5" t="n"/>
      <c r="B42" s="5" t="n"/>
      <c r="C42" s="5" t="n"/>
      <c r="D42" s="6" t="n"/>
      <c r="E42" s="5" t="n"/>
      <c r="F42" s="5" t="n"/>
    </row>
    <row r="43">
      <c r="A43" s="5" t="n"/>
      <c r="B43" s="5" t="n"/>
      <c r="C43" s="5" t="n"/>
      <c r="D43" s="6" t="n"/>
      <c r="E43" s="5" t="n"/>
      <c r="F43" s="5" t="n"/>
    </row>
    <row r="44">
      <c r="A44" s="5" t="n"/>
      <c r="B44" s="5" t="n"/>
      <c r="C44" s="5" t="n"/>
      <c r="D44" s="6" t="n"/>
      <c r="E44" s="5" t="n"/>
      <c r="F44" s="5" t="n"/>
    </row>
    <row r="45">
      <c r="A45" s="5" t="n"/>
      <c r="B45" s="5" t="n"/>
      <c r="C45" s="5" t="n"/>
      <c r="D45" s="6" t="n"/>
      <c r="E45" s="5" t="n"/>
      <c r="F45" s="5" t="n"/>
    </row>
    <row r="46">
      <c r="A46" s="5" t="n"/>
      <c r="B46" s="5" t="n"/>
      <c r="C46" s="5" t="n"/>
      <c r="D46" s="6" t="n"/>
      <c r="E46" s="5" t="n"/>
      <c r="F46" s="5" t="n"/>
    </row>
    <row r="47">
      <c r="A47" s="5" t="n"/>
      <c r="B47" s="5" t="n"/>
      <c r="C47" s="5" t="n"/>
      <c r="D47" s="6" t="n"/>
      <c r="E47" s="5" t="n"/>
      <c r="F47" s="5" t="n"/>
    </row>
    <row r="48">
      <c r="A48" s="5" t="n"/>
      <c r="B48" s="5" t="n"/>
      <c r="C48" s="5" t="n"/>
      <c r="D48" s="6" t="n"/>
      <c r="E48" s="5" t="n"/>
      <c r="F48" s="5" t="n"/>
    </row>
    <row r="49">
      <c r="A49" s="5" t="n"/>
      <c r="B49" s="5" t="n"/>
      <c r="C49" s="5" t="n"/>
      <c r="D49" s="6" t="n"/>
      <c r="E49" s="5" t="n"/>
      <c r="F49" s="5" t="n"/>
    </row>
    <row r="50">
      <c r="A50" s="5" t="n"/>
      <c r="B50" s="5" t="n"/>
      <c r="C50" s="5" t="n"/>
      <c r="D50" s="6" t="n"/>
      <c r="E50" s="5" t="n"/>
      <c r="F50" s="5" t="n"/>
    </row>
    <row r="51">
      <c r="A51" s="5" t="n"/>
      <c r="B51" s="5" t="n"/>
      <c r="C51" s="5" t="n"/>
      <c r="D51" s="6" t="n"/>
      <c r="E51" s="5" t="n"/>
      <c r="F51" s="5" t="n"/>
    </row>
    <row r="52">
      <c r="A52" s="5" t="n"/>
      <c r="B52" s="5" t="n"/>
      <c r="C52" s="5" t="n"/>
      <c r="D52" s="6" t="n"/>
      <c r="E52" s="5" t="n"/>
      <c r="F52" s="5" t="n"/>
    </row>
    <row r="53">
      <c r="A53" s="5" t="n"/>
      <c r="B53" s="5" t="n"/>
      <c r="C53" s="5" t="n"/>
      <c r="D53" s="6" t="n"/>
      <c r="E53" s="5" t="n"/>
      <c r="F53" s="5" t="n"/>
    </row>
  </sheetData>
  <mergeCells count="1">
    <mergeCell ref="A1:F1"/>
  </mergeCells>
  <dataValidations count="1">
    <dataValidation sqref="A4 A5 A6 A7 A8 A9 A10 A11 A12 A13 A14 A15 A16 A17 A18 A19 A20 A21 A22 A23 A24 A25 A26 A27 A28 A29 A30 A31 A32 A33 A34 A35 A36 A37 A38 A39 A40 A41 A42 A43 A44 A45 A46 A47 A48 A49 A50 A51 A52 A53" showDropDown="0" showInputMessage="0" showErrorMessage="0" allowBlank="0" type="list">
      <formula1>"P1,P2,P3,P4"</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5" customWidth="1" min="1" max="1"/>
    <col width="50" customWidth="1" min="2" max="2"/>
    <col width="20" customWidth="1" min="3" max="3"/>
    <col width="50" customWidth="1" min="4" max="4"/>
  </cols>
  <sheetData>
    <row r="1" ht="30" customHeight="1">
      <c r="A1" s="1" t="inlineStr">
        <is>
          <t>LESSONS LEARNED SYNTHESIS\nCross-Project Insights</t>
        </is>
      </c>
    </row>
    <row r="3">
      <c r="A3" s="12" t="inlineStr">
        <is>
          <t>Project</t>
        </is>
      </c>
      <c r="B3" s="12" t="inlineStr">
        <is>
          <t>Lesson Learned</t>
        </is>
      </c>
      <c r="C3" s="12" t="inlineStr">
        <is>
          <t>Category</t>
        </is>
      </c>
      <c r="D3" s="12" t="inlineStr">
        <is>
          <t>Recommendation</t>
        </is>
      </c>
    </row>
    <row r="4">
      <c r="A4" s="5" t="n"/>
      <c r="B4" s="5" t="n"/>
      <c r="C4" s="5" t="n"/>
      <c r="D4" s="5" t="n"/>
    </row>
    <row r="5">
      <c r="A5" s="5" t="n"/>
      <c r="B5" s="5" t="n"/>
      <c r="C5" s="5" t="n"/>
      <c r="D5" s="5" t="n"/>
    </row>
    <row r="6">
      <c r="A6" s="5" t="n"/>
      <c r="B6" s="5" t="n"/>
      <c r="C6" s="5" t="n"/>
      <c r="D6" s="5" t="n"/>
    </row>
    <row r="7">
      <c r="A7" s="5" t="n"/>
      <c r="B7" s="5" t="n"/>
      <c r="C7" s="5" t="n"/>
      <c r="D7" s="5" t="n"/>
    </row>
    <row r="8">
      <c r="A8" s="5" t="n"/>
      <c r="B8" s="5" t="n"/>
      <c r="C8" s="5" t="n"/>
      <c r="D8" s="5" t="n"/>
    </row>
    <row r="9">
      <c r="A9" s="5" t="n"/>
      <c r="B9" s="5" t="n"/>
      <c r="C9" s="5" t="n"/>
      <c r="D9" s="5" t="n"/>
    </row>
    <row r="10">
      <c r="A10" s="5" t="n"/>
      <c r="B10" s="5" t="n"/>
      <c r="C10" s="5" t="n"/>
      <c r="D10" s="5" t="n"/>
    </row>
    <row r="11">
      <c r="A11" s="5" t="n"/>
      <c r="B11" s="5" t="n"/>
      <c r="C11" s="5" t="n"/>
      <c r="D11" s="5" t="n"/>
    </row>
    <row r="12">
      <c r="A12" s="5" t="n"/>
      <c r="B12" s="5" t="n"/>
      <c r="C12" s="5" t="n"/>
      <c r="D12" s="5" t="n"/>
    </row>
    <row r="13">
      <c r="A13" s="5" t="n"/>
      <c r="B13" s="5" t="n"/>
      <c r="C13" s="5" t="n"/>
      <c r="D13" s="5" t="n"/>
    </row>
    <row r="14">
      <c r="A14" s="5" t="n"/>
      <c r="B14" s="5" t="n"/>
      <c r="C14" s="5" t="n"/>
      <c r="D14" s="5" t="n"/>
    </row>
    <row r="15">
      <c r="A15" s="5" t="n"/>
      <c r="B15" s="5" t="n"/>
      <c r="C15" s="5" t="n"/>
      <c r="D15" s="5" t="n"/>
    </row>
    <row r="16">
      <c r="A16" s="5" t="n"/>
      <c r="B16" s="5" t="n"/>
      <c r="C16" s="5" t="n"/>
      <c r="D16" s="5" t="n"/>
    </row>
    <row r="17">
      <c r="A17" s="5" t="n"/>
      <c r="B17" s="5" t="n"/>
      <c r="C17" s="5" t="n"/>
      <c r="D17" s="5" t="n"/>
    </row>
    <row r="18">
      <c r="A18" s="5" t="n"/>
      <c r="B18" s="5" t="n"/>
      <c r="C18" s="5" t="n"/>
      <c r="D18" s="5" t="n"/>
    </row>
    <row r="19">
      <c r="A19" s="5" t="n"/>
      <c r="B19" s="5" t="n"/>
      <c r="C19" s="5" t="n"/>
      <c r="D19" s="5" t="n"/>
    </row>
    <row r="20">
      <c r="A20" s="5" t="n"/>
      <c r="B20" s="5" t="n"/>
      <c r="C20" s="5" t="n"/>
      <c r="D20" s="5" t="n"/>
    </row>
    <row r="21">
      <c r="A21" s="5" t="n"/>
      <c r="B21" s="5" t="n"/>
      <c r="C21" s="5" t="n"/>
      <c r="D21" s="5" t="n"/>
    </row>
    <row r="22">
      <c r="A22" s="5" t="n"/>
      <c r="B22" s="5" t="n"/>
      <c r="C22" s="5" t="n"/>
      <c r="D22" s="5" t="n"/>
    </row>
    <row r="23">
      <c r="A23" s="5" t="n"/>
      <c r="B23" s="5" t="n"/>
      <c r="C23" s="5" t="n"/>
      <c r="D23" s="5" t="n"/>
    </row>
    <row r="24">
      <c r="A24" s="5" t="n"/>
      <c r="B24" s="5" t="n"/>
      <c r="C24" s="5" t="n"/>
      <c r="D24" s="5" t="n"/>
    </row>
    <row r="25">
      <c r="A25" s="5" t="n"/>
      <c r="B25" s="5" t="n"/>
      <c r="C25" s="5" t="n"/>
      <c r="D25" s="5" t="n"/>
    </row>
    <row r="26">
      <c r="A26" s="5" t="n"/>
      <c r="B26" s="5" t="n"/>
      <c r="C26" s="5" t="n"/>
      <c r="D26" s="5" t="n"/>
    </row>
    <row r="27">
      <c r="A27" s="5" t="n"/>
      <c r="B27" s="5" t="n"/>
      <c r="C27" s="5" t="n"/>
      <c r="D27" s="5" t="n"/>
    </row>
    <row r="28">
      <c r="A28" s="5" t="n"/>
      <c r="B28" s="5" t="n"/>
      <c r="C28" s="5" t="n"/>
      <c r="D28" s="5" t="n"/>
    </row>
    <row r="29">
      <c r="A29" s="5" t="n"/>
      <c r="B29" s="5" t="n"/>
      <c r="C29" s="5" t="n"/>
      <c r="D29" s="5" t="n"/>
    </row>
    <row r="30">
      <c r="A30" s="5" t="n"/>
      <c r="B30" s="5" t="n"/>
      <c r="C30" s="5" t="n"/>
      <c r="D30" s="5" t="n"/>
    </row>
    <row r="31">
      <c r="A31" s="5" t="n"/>
      <c r="B31" s="5" t="n"/>
      <c r="C31" s="5" t="n"/>
      <c r="D31" s="5" t="n"/>
    </row>
    <row r="32">
      <c r="A32" s="5" t="n"/>
      <c r="B32" s="5" t="n"/>
      <c r="C32" s="5" t="n"/>
      <c r="D32" s="5" t="n"/>
    </row>
    <row r="33">
      <c r="A33" s="5" t="n"/>
      <c r="B33" s="5" t="n"/>
      <c r="C33" s="5" t="n"/>
      <c r="D33" s="5" t="n"/>
    </row>
    <row r="34">
      <c r="A34" s="5" t="n"/>
      <c r="B34" s="5" t="n"/>
      <c r="C34" s="5" t="n"/>
      <c r="D34" s="5" t="n"/>
    </row>
    <row r="35">
      <c r="A35" s="5" t="n"/>
      <c r="B35" s="5" t="n"/>
      <c r="C35" s="5" t="n"/>
      <c r="D35" s="5" t="n"/>
    </row>
    <row r="36">
      <c r="A36" s="5" t="n"/>
      <c r="B36" s="5" t="n"/>
      <c r="C36" s="5" t="n"/>
      <c r="D36" s="5" t="n"/>
    </row>
    <row r="37">
      <c r="A37" s="5" t="n"/>
      <c r="B37" s="5" t="n"/>
      <c r="C37" s="5" t="n"/>
      <c r="D37" s="5" t="n"/>
    </row>
    <row r="38">
      <c r="A38" s="5" t="n"/>
      <c r="B38" s="5" t="n"/>
      <c r="C38" s="5" t="n"/>
      <c r="D38" s="5" t="n"/>
    </row>
    <row r="39">
      <c r="A39" s="5" t="n"/>
      <c r="B39" s="5" t="n"/>
      <c r="C39" s="5" t="n"/>
      <c r="D39" s="5" t="n"/>
    </row>
    <row r="40">
      <c r="A40" s="5" t="n"/>
      <c r="B40" s="5" t="n"/>
      <c r="C40" s="5" t="n"/>
      <c r="D40" s="5" t="n"/>
    </row>
    <row r="41">
      <c r="A41" s="5" t="n"/>
      <c r="B41" s="5" t="n"/>
      <c r="C41" s="5" t="n"/>
      <c r="D41" s="5" t="n"/>
    </row>
    <row r="42">
      <c r="A42" s="5" t="n"/>
      <c r="B42" s="5" t="n"/>
      <c r="C42" s="5" t="n"/>
      <c r="D42" s="5" t="n"/>
    </row>
    <row r="43">
      <c r="A43" s="5" t="n"/>
      <c r="B43" s="5" t="n"/>
      <c r="C43" s="5" t="n"/>
      <c r="D43" s="5" t="n"/>
    </row>
  </sheetData>
  <mergeCells count="1">
    <mergeCell ref="A1:D1"/>
  </mergeCells>
  <dataValidations count="1">
    <dataValidation sqref="C4 C5 C6 C7 C8 C9 C10 C11 C12 C13 C14 C15 C16 C17 C18 C19 C20 C21 C22 C23 C24 C25 C26 C27 C28 C29 C30 C31 C32 C33 C34 C35 C36 C37 C38 C39 C40 C41 C42 C43" showDropDown="0" showInputMessage="0" showErrorMessage="0" allowBlank="0" type="list">
      <formula1>"Security Testing,Vendor Management,Requirements Definition,Implementation,Training,Process"</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25" customWidth="1" min="1" max="1"/>
    <col width="30" customWidth="1" min="2" max="2"/>
    <col width="15" customWidth="1" min="3" max="3"/>
    <col width="40" customWidth="1" min="4" max="4"/>
    <col width="15" customWidth="1" min="5" max="5"/>
  </cols>
  <sheetData>
    <row r="1" ht="30" customHeight="1">
      <c r="A1" s="1" t="inlineStr">
        <is>
          <t>REGULATORY COMPLIANCE VIEW\nCompliance by Regulation</t>
        </is>
      </c>
    </row>
    <row r="3">
      <c r="A3" s="12" t="inlineStr">
        <is>
          <t>Regulation</t>
        </is>
      </c>
      <c r="B3" s="12" t="inlineStr">
        <is>
          <t>Applicable Projects</t>
        </is>
      </c>
      <c r="C3" s="12" t="inlineStr">
        <is>
          <t>Compliance Rate</t>
        </is>
      </c>
      <c r="D3" s="12" t="inlineStr">
        <is>
          <t>Gaps</t>
        </is>
      </c>
      <c r="E3" s="12" t="inlineStr">
        <is>
          <t>Status</t>
        </is>
      </c>
    </row>
    <row r="4">
      <c r="A4" t="inlineStr">
        <is>
          <t>GDPR</t>
        </is>
      </c>
      <c r="B4" s="5" t="n"/>
      <c r="C4" s="6" t="n"/>
      <c r="D4" s="5" t="n"/>
      <c r="E4" s="5" t="n"/>
    </row>
    <row r="5">
      <c r="A5" t="inlineStr">
        <is>
          <t>nDSG (Swiss DPA)</t>
        </is>
      </c>
      <c r="B5" s="5" t="n"/>
      <c r="C5" s="6" t="n"/>
      <c r="D5" s="5" t="n"/>
      <c r="E5" s="5" t="n"/>
    </row>
    <row r="6">
      <c r="A6" t="inlineStr">
        <is>
          <t>PCI DSS</t>
        </is>
      </c>
      <c r="B6" s="5" t="n"/>
      <c r="C6" s="6" t="n"/>
      <c r="D6" s="5" t="n"/>
      <c r="E6" s="5" t="n"/>
    </row>
    <row r="7">
      <c r="A7" t="inlineStr">
        <is>
          <t>HIPAA</t>
        </is>
      </c>
      <c r="B7" s="5" t="n"/>
      <c r="C7" s="6" t="n"/>
      <c r="D7" s="5" t="n"/>
      <c r="E7" s="5" t="n"/>
    </row>
    <row r="8">
      <c r="A8" t="inlineStr">
        <is>
          <t>ISO 27001</t>
        </is>
      </c>
      <c r="B8" s="5" t="n"/>
      <c r="C8" s="6" t="n"/>
      <c r="D8" s="5" t="n"/>
      <c r="E8" s="5" t="n"/>
    </row>
    <row r="9">
      <c r="A9" t="inlineStr">
        <is>
          <t>SOC 2</t>
        </is>
      </c>
      <c r="B9" s="5" t="n"/>
      <c r="C9" s="6" t="n"/>
      <c r="D9" s="5" t="n"/>
      <c r="E9" s="5" t="n"/>
    </row>
  </sheetData>
  <mergeCells count="1">
    <mergeCell ref="A1:E1"/>
  </mergeCells>
  <dataValidations count="1">
    <dataValidation sqref="E4 E5 E6 E7 E8 E9" showDropDown="0" showInputMessage="0" showErrorMessage="0" allowBlank="0" type="list">
      <formula1>"✅ Compliant,⚠️ Partial,❌ Non-Compliant"</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53"/>
  <sheetViews>
    <sheetView workbookViewId="0">
      <selection activeCell="A1" sqref="A1"/>
    </sheetView>
  </sheetViews>
  <sheetFormatPr baseColWidth="8" defaultRowHeight="15"/>
  <cols>
    <col width="30" customWidth="1" min="1" max="1"/>
    <col width="18" customWidth="1" min="2" max="2"/>
    <col width="18" customWidth="1" min="3" max="3"/>
    <col width="15" customWidth="1" min="4" max="4"/>
    <col width="15" customWidth="1" min="5" max="5"/>
  </cols>
  <sheetData>
    <row r="1" ht="35" customHeight="1">
      <c r="A1" s="1" t="inlineStr">
        <is>
          <t>RESOURCES &amp; BUDGET ANALYSIS\nSecurity Spending and Resource Allocation</t>
        </is>
      </c>
    </row>
    <row r="3">
      <c r="A3" s="12" t="inlineStr">
        <is>
          <t>Project</t>
        </is>
      </c>
      <c r="B3" s="12" t="inlineStr">
        <is>
          <t>Security Budget (CHF)</t>
        </is>
      </c>
      <c r="C3" s="12" t="inlineStr">
        <is>
          <t>Actual Spend (CHF)</t>
        </is>
      </c>
      <c r="D3" s="12" t="inlineStr">
        <is>
          <t>% of Total Budget</t>
        </is>
      </c>
      <c r="E3" s="12" t="inlineStr">
        <is>
          <t>Resource FTE</t>
        </is>
      </c>
    </row>
    <row r="4">
      <c r="A4" s="5" t="n"/>
      <c r="B4" s="14" t="n"/>
      <c r="C4" s="14" t="n"/>
      <c r="D4" s="6" t="n"/>
      <c r="E4" s="15" t="n"/>
    </row>
    <row r="5">
      <c r="A5" s="5" t="n"/>
      <c r="B5" s="14" t="n"/>
      <c r="C5" s="14" t="n"/>
      <c r="D5" s="6" t="n"/>
      <c r="E5" s="15" t="n"/>
    </row>
    <row r="6">
      <c r="A6" s="5" t="n"/>
      <c r="B6" s="14" t="n"/>
      <c r="C6" s="14" t="n"/>
      <c r="D6" s="6" t="n"/>
      <c r="E6" s="15" t="n"/>
    </row>
    <row r="7">
      <c r="A7" s="5" t="n"/>
      <c r="B7" s="14" t="n"/>
      <c r="C7" s="14" t="n"/>
      <c r="D7" s="6" t="n"/>
      <c r="E7" s="15" t="n"/>
    </row>
    <row r="8">
      <c r="A8" s="5" t="n"/>
      <c r="B8" s="14" t="n"/>
      <c r="C8" s="14" t="n"/>
      <c r="D8" s="6" t="n"/>
      <c r="E8" s="15" t="n"/>
    </row>
    <row r="9">
      <c r="A9" s="5" t="n"/>
      <c r="B9" s="14" t="n"/>
      <c r="C9" s="14" t="n"/>
      <c r="D9" s="6" t="n"/>
      <c r="E9" s="15" t="n"/>
    </row>
    <row r="10">
      <c r="A10" s="5" t="n"/>
      <c r="B10" s="14" t="n"/>
      <c r="C10" s="14" t="n"/>
      <c r="D10" s="6" t="n"/>
      <c r="E10" s="15" t="n"/>
    </row>
    <row r="11">
      <c r="A11" s="5" t="n"/>
      <c r="B11" s="14" t="n"/>
      <c r="C11" s="14" t="n"/>
      <c r="D11" s="6" t="n"/>
      <c r="E11" s="15" t="n"/>
    </row>
    <row r="12">
      <c r="A12" s="5" t="n"/>
      <c r="B12" s="14" t="n"/>
      <c r="C12" s="14" t="n"/>
      <c r="D12" s="6" t="n"/>
      <c r="E12" s="15" t="n"/>
    </row>
    <row r="13">
      <c r="A13" s="5" t="n"/>
      <c r="B13" s="14" t="n"/>
      <c r="C13" s="14" t="n"/>
      <c r="D13" s="6" t="n"/>
      <c r="E13" s="15" t="n"/>
    </row>
    <row r="14">
      <c r="A14" s="5" t="n"/>
      <c r="B14" s="14" t="n"/>
      <c r="C14" s="14" t="n"/>
      <c r="D14" s="6" t="n"/>
      <c r="E14" s="15" t="n"/>
    </row>
    <row r="15">
      <c r="A15" s="5" t="n"/>
      <c r="B15" s="14" t="n"/>
      <c r="C15" s="14" t="n"/>
      <c r="D15" s="6" t="n"/>
      <c r="E15" s="15" t="n"/>
    </row>
    <row r="16">
      <c r="A16" s="5" t="n"/>
      <c r="B16" s="14" t="n"/>
      <c r="C16" s="14" t="n"/>
      <c r="D16" s="6" t="n"/>
      <c r="E16" s="15" t="n"/>
    </row>
    <row r="17">
      <c r="A17" s="5" t="n"/>
      <c r="B17" s="14" t="n"/>
      <c r="C17" s="14" t="n"/>
      <c r="D17" s="6" t="n"/>
      <c r="E17" s="15" t="n"/>
    </row>
    <row r="18">
      <c r="A18" s="5" t="n"/>
      <c r="B18" s="14" t="n"/>
      <c r="C18" s="14" t="n"/>
      <c r="D18" s="6" t="n"/>
      <c r="E18" s="15" t="n"/>
    </row>
    <row r="19">
      <c r="A19" s="5" t="n"/>
      <c r="B19" s="14" t="n"/>
      <c r="C19" s="14" t="n"/>
      <c r="D19" s="6" t="n"/>
      <c r="E19" s="15" t="n"/>
    </row>
    <row r="20">
      <c r="A20" s="5" t="n"/>
      <c r="B20" s="14" t="n"/>
      <c r="C20" s="14" t="n"/>
      <c r="D20" s="6" t="n"/>
      <c r="E20" s="15" t="n"/>
    </row>
    <row r="21">
      <c r="A21" s="5" t="n"/>
      <c r="B21" s="14" t="n"/>
      <c r="C21" s="14" t="n"/>
      <c r="D21" s="6" t="n"/>
      <c r="E21" s="15" t="n"/>
    </row>
    <row r="22">
      <c r="A22" s="5" t="n"/>
      <c r="B22" s="14" t="n"/>
      <c r="C22" s="14" t="n"/>
      <c r="D22" s="6" t="n"/>
      <c r="E22" s="15" t="n"/>
    </row>
    <row r="23">
      <c r="A23" s="5" t="n"/>
      <c r="B23" s="14" t="n"/>
      <c r="C23" s="14" t="n"/>
      <c r="D23" s="6" t="n"/>
      <c r="E23" s="15" t="n"/>
    </row>
    <row r="24">
      <c r="A24" s="5" t="n"/>
      <c r="B24" s="14" t="n"/>
      <c r="C24" s="14" t="n"/>
      <c r="D24" s="6" t="n"/>
      <c r="E24" s="15" t="n"/>
    </row>
    <row r="25">
      <c r="A25" s="5" t="n"/>
      <c r="B25" s="14" t="n"/>
      <c r="C25" s="14" t="n"/>
      <c r="D25" s="6" t="n"/>
      <c r="E25" s="15" t="n"/>
    </row>
    <row r="26">
      <c r="A26" s="5" t="n"/>
      <c r="B26" s="14" t="n"/>
      <c r="C26" s="14" t="n"/>
      <c r="D26" s="6" t="n"/>
      <c r="E26" s="15" t="n"/>
    </row>
    <row r="27">
      <c r="A27" s="5" t="n"/>
      <c r="B27" s="14" t="n"/>
      <c r="C27" s="14" t="n"/>
      <c r="D27" s="6" t="n"/>
      <c r="E27" s="15" t="n"/>
    </row>
    <row r="28">
      <c r="A28" s="5" t="n"/>
      <c r="B28" s="14" t="n"/>
      <c r="C28" s="14" t="n"/>
      <c r="D28" s="6" t="n"/>
      <c r="E28" s="15" t="n"/>
    </row>
    <row r="29">
      <c r="A29" s="5" t="n"/>
      <c r="B29" s="14" t="n"/>
      <c r="C29" s="14" t="n"/>
      <c r="D29" s="6" t="n"/>
      <c r="E29" s="15" t="n"/>
    </row>
    <row r="30">
      <c r="A30" s="5" t="n"/>
      <c r="B30" s="14" t="n"/>
      <c r="C30" s="14" t="n"/>
      <c r="D30" s="6" t="n"/>
      <c r="E30" s="15" t="n"/>
    </row>
    <row r="31">
      <c r="A31" s="5" t="n"/>
      <c r="B31" s="14" t="n"/>
      <c r="C31" s="14" t="n"/>
      <c r="D31" s="6" t="n"/>
      <c r="E31" s="15" t="n"/>
    </row>
    <row r="32">
      <c r="A32" s="5" t="n"/>
      <c r="B32" s="14" t="n"/>
      <c r="C32" s="14" t="n"/>
      <c r="D32" s="6" t="n"/>
      <c r="E32" s="15" t="n"/>
    </row>
    <row r="33">
      <c r="A33" s="5" t="n"/>
      <c r="B33" s="14" t="n"/>
      <c r="C33" s="14" t="n"/>
      <c r="D33" s="6" t="n"/>
      <c r="E33" s="15" t="n"/>
    </row>
    <row r="34">
      <c r="A34" s="5" t="n"/>
      <c r="B34" s="14" t="n"/>
      <c r="C34" s="14" t="n"/>
      <c r="D34" s="6" t="n"/>
      <c r="E34" s="15" t="n"/>
    </row>
    <row r="35">
      <c r="A35" s="5" t="n"/>
      <c r="B35" s="14" t="n"/>
      <c r="C35" s="14" t="n"/>
      <c r="D35" s="6" t="n"/>
      <c r="E35" s="15" t="n"/>
    </row>
    <row r="36">
      <c r="A36" s="5" t="n"/>
      <c r="B36" s="14" t="n"/>
      <c r="C36" s="14" t="n"/>
      <c r="D36" s="6" t="n"/>
      <c r="E36" s="15" t="n"/>
    </row>
    <row r="37">
      <c r="A37" s="5" t="n"/>
      <c r="B37" s="14" t="n"/>
      <c r="C37" s="14" t="n"/>
      <c r="D37" s="6" t="n"/>
      <c r="E37" s="15" t="n"/>
    </row>
    <row r="38">
      <c r="A38" s="5" t="n"/>
      <c r="B38" s="14" t="n"/>
      <c r="C38" s="14" t="n"/>
      <c r="D38" s="6" t="n"/>
      <c r="E38" s="15" t="n"/>
    </row>
    <row r="39">
      <c r="A39" s="5" t="n"/>
      <c r="B39" s="14" t="n"/>
      <c r="C39" s="14" t="n"/>
      <c r="D39" s="6" t="n"/>
      <c r="E39" s="15" t="n"/>
    </row>
    <row r="40">
      <c r="A40" s="5" t="n"/>
      <c r="B40" s="14" t="n"/>
      <c r="C40" s="14" t="n"/>
      <c r="D40" s="6" t="n"/>
      <c r="E40" s="15" t="n"/>
    </row>
    <row r="41">
      <c r="A41" s="5" t="n"/>
      <c r="B41" s="14" t="n"/>
      <c r="C41" s="14" t="n"/>
      <c r="D41" s="6" t="n"/>
      <c r="E41" s="15" t="n"/>
    </row>
    <row r="42">
      <c r="A42" s="5" t="n"/>
      <c r="B42" s="14" t="n"/>
      <c r="C42" s="14" t="n"/>
      <c r="D42" s="6" t="n"/>
      <c r="E42" s="15" t="n"/>
    </row>
    <row r="43">
      <c r="A43" s="5" t="n"/>
      <c r="B43" s="14" t="n"/>
      <c r="C43" s="14" t="n"/>
      <c r="D43" s="6" t="n"/>
      <c r="E43" s="15" t="n"/>
    </row>
    <row r="44">
      <c r="A44" s="5" t="n"/>
      <c r="B44" s="14" t="n"/>
      <c r="C44" s="14" t="n"/>
      <c r="D44" s="6" t="n"/>
      <c r="E44" s="15" t="n"/>
    </row>
    <row r="45">
      <c r="A45" s="5" t="n"/>
      <c r="B45" s="14" t="n"/>
      <c r="C45" s="14" t="n"/>
      <c r="D45" s="6" t="n"/>
      <c r="E45" s="15" t="n"/>
    </row>
    <row r="46">
      <c r="A46" s="5" t="n"/>
      <c r="B46" s="14" t="n"/>
      <c r="C46" s="14" t="n"/>
      <c r="D46" s="6" t="n"/>
      <c r="E46" s="15" t="n"/>
    </row>
    <row r="47">
      <c r="A47" s="5" t="n"/>
      <c r="B47" s="14" t="n"/>
      <c r="C47" s="14" t="n"/>
      <c r="D47" s="6" t="n"/>
      <c r="E47" s="15" t="n"/>
    </row>
    <row r="48">
      <c r="A48" s="5" t="n"/>
      <c r="B48" s="14" t="n"/>
      <c r="C48" s="14" t="n"/>
      <c r="D48" s="6" t="n"/>
      <c r="E48" s="15" t="n"/>
    </row>
    <row r="49">
      <c r="A49" s="5" t="n"/>
      <c r="B49" s="14" t="n"/>
      <c r="C49" s="14" t="n"/>
      <c r="D49" s="6" t="n"/>
      <c r="E49" s="15" t="n"/>
    </row>
    <row r="50">
      <c r="A50" s="5" t="n"/>
      <c r="B50" s="14" t="n"/>
      <c r="C50" s="14" t="n"/>
      <c r="D50" s="6" t="n"/>
      <c r="E50" s="15" t="n"/>
    </row>
    <row r="51">
      <c r="A51" s="5" t="n"/>
      <c r="B51" s="14" t="n"/>
      <c r="C51" s="14" t="n"/>
      <c r="D51" s="6" t="n"/>
      <c r="E51" s="15" t="n"/>
    </row>
    <row r="52">
      <c r="A52" s="5" t="n"/>
      <c r="B52" s="14" t="n"/>
      <c r="C52" s="14" t="n"/>
      <c r="D52" s="6" t="n"/>
      <c r="E52" s="15" t="n"/>
    </row>
    <row r="53">
      <c r="A53" s="5" t="n"/>
      <c r="B53" s="14" t="n"/>
      <c r="C53" s="14" t="n"/>
      <c r="D53" s="6" t="n"/>
      <c r="E53" s="15" t="n"/>
    </row>
  </sheetData>
  <mergeCells count="1">
    <mergeCell ref="A1:E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60" customWidth="1" min="1" max="1"/>
  </cols>
  <sheetData>
    <row r="1" ht="30" customHeight="1">
      <c r="A1" s="1" t="inlineStr">
        <is>
          <t>VISUALIZATION DASHBOARD\nExecutive Charts and Graphs</t>
        </is>
      </c>
    </row>
    <row r="3">
      <c r="A3" s="2" t="inlineStr">
        <is>
          <t>CHART PLACEHOLDERS</t>
        </is>
      </c>
    </row>
    <row r="5">
      <c r="A5" t="inlineStr">
        <is>
          <t>Create charts in Excel based on data from other sheets:</t>
        </is>
      </c>
    </row>
    <row r="6">
      <c r="A6" t="inlineStr">
        <is>
          <t>1. Portfolio Compliance Score - Gauge chart</t>
        </is>
      </c>
    </row>
    <row r="7">
      <c r="A7" t="inlineStr">
        <is>
          <t>2. Projects by Risk Classification - Pie chart</t>
        </is>
      </c>
    </row>
    <row r="8">
      <c r="A8" t="inlineStr">
        <is>
          <t>3. Compliance Distribution - Bar chart</t>
        </is>
      </c>
    </row>
    <row r="9">
      <c r="A9" t="inlineStr">
        <is>
          <t>4. Trend Analysis - Line chart (QoQ)</t>
        </is>
      </c>
    </row>
    <row r="10">
      <c r="A10" t="inlineStr">
        <is>
          <t>5. Gap Analysis - Pareto chart</t>
        </is>
      </c>
    </row>
    <row r="11">
      <c r="A11" t="inlineStr">
        <is>
          <t>6. Budget Allocation - Stacked bar chart</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2026-01-29T18:01:17Z</dcterms:created>
  <dcterms:modified xmlns:dcterms="http://purl.org/dc/terms/" xmlns:xsi="http://www.w3.org/2001/XMLSchema-instance" xsi:type="dcterms:W3CDTF">2026-01-29T18:01:17Z</dcterms:modified>
</cp:coreProperties>
</file>