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8. Compliance Dashboard" sheetId="8" state="visible" r:id="rId8"/>
    <sheet xmlns:r="http://schemas.openxmlformats.org/officeDocument/2006/relationships" name="9. Evidence Register" sheetId="9" state="visible" r:id="rId9"/>
    <sheet xmlns:r="http://schemas.openxmlformats.org/officeDocument/2006/relationships" name="10. Sign-Off"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00FFFFFF"/>
      <sz val="16"/>
    </font>
    <font>
      <name val="Calibri"/>
      <b val="1"/>
      <color rgb="00FFFFFF"/>
      <sz val="14"/>
    </font>
    <font>
      <b val="1"/>
    </font>
    <font>
      <name val="Calibri"/>
      <b val="1"/>
      <color rgb="00000000"/>
      <sz val="12"/>
    </font>
    <font>
      <b val="1"/>
      <sz val="12"/>
    </font>
    <font>
      <b val="1"/>
      <color rgb="00FF0000"/>
      <sz val="14"/>
    </font>
    <font>
      <name val="Calibri"/>
      <b val="1"/>
      <sz val="11"/>
    </font>
    <font>
      <b val="1"/>
      <color rgb="00FF0000"/>
      <sz val="12"/>
    </font>
    <font>
      <b val="1"/>
      <sz val="14"/>
    </font>
    <font>
      <color rgb="00808080"/>
    </font>
  </fonts>
  <fills count="8">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FFEB9C"/>
        <bgColor rgb="00FFEB9C"/>
      </patternFill>
    </fill>
    <fill>
      <patternFill patternType="solid">
        <fgColor rgb="00B4C7E7"/>
        <bgColor rgb="00B4C7E7"/>
      </patternFill>
    </fill>
    <fill>
      <patternFill patternType="solid">
        <fgColor rgb="00FFFF00"/>
        <bgColor rgb="00FFFF00"/>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0" pivotButton="0" quotePrefix="0" xfId="0"/>
    <xf numFmtId="0" fontId="0" fillId="4" borderId="1" pivotButton="0" quotePrefix="0" xfId="0"/>
    <xf numFmtId="0" fontId="4" fillId="5" borderId="0" pivotButton="0" quotePrefix="0" xfId="0"/>
    <xf numFmtId="0" fontId="5" fillId="0" borderId="0" pivotButton="0" quotePrefix="0" xfId="0"/>
    <xf numFmtId="0" fontId="6" fillId="6" borderId="0" pivotButton="0" quotePrefix="0" xfId="0"/>
    <xf numFmtId="0" fontId="7" fillId="5" borderId="1" applyAlignment="1" pivotButton="0" quotePrefix="0" xfId="0">
      <alignment horizontal="center" vertical="center" wrapText="1"/>
    </xf>
    <xf numFmtId="0" fontId="0" fillId="0" borderId="1" applyAlignment="1" pivotButton="0" quotePrefix="0" xfId="0">
      <alignment wrapText="1"/>
    </xf>
    <xf numFmtId="164" fontId="0" fillId="4" borderId="1" pivotButton="0" quotePrefix="0" xfId="0"/>
    <xf numFmtId="0" fontId="8" fillId="0" borderId="0" pivotButton="0" quotePrefix="0" xfId="0"/>
    <xf numFmtId="164" fontId="0" fillId="0" borderId="0" pivotButton="0" quotePrefix="0" xfId="0"/>
    <xf numFmtId="0" fontId="7" fillId="5" borderId="0" pivotButton="0" quotePrefix="0" xfId="0"/>
    <xf numFmtId="9" fontId="0" fillId="0" borderId="0" pivotButton="0" quotePrefix="0" xfId="0"/>
    <xf numFmtId="9" fontId="9" fillId="6" borderId="0" pivotButton="0" quotePrefix="0" xfId="0"/>
    <xf numFmtId="0" fontId="10" fillId="7" borderId="1" pivotButton="0" quotePrefix="0" xfId="0"/>
    <xf numFmtId="9"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55" customWidth="1" min="2" max="2"/>
  </cols>
  <sheetData>
    <row r="1" ht="40" customHeight="1">
      <c r="A1" s="1" t="inlineStr">
        <is>
          <t>ISMS-IMP-A.5.8.1 - Project Lifecycle Security Assessment\nISO/IEC 27001:2022 Control A.5.8</t>
        </is>
      </c>
    </row>
    <row r="3">
      <c r="A3" s="2" t="inlineStr">
        <is>
          <t>DOCUMENT CONTROL</t>
        </is>
      </c>
    </row>
    <row r="5">
      <c r="A5" s="3" t="inlineStr">
        <is>
          <t>Document ID:</t>
        </is>
      </c>
      <c r="B5" t="inlineStr">
        <is>
          <t>ISMS-IMP-A.5.8.1</t>
        </is>
      </c>
    </row>
    <row r="6">
      <c r="A6" s="3" t="inlineStr">
        <is>
          <t>Version:</t>
        </is>
      </c>
      <c r="B6" t="inlineStr">
        <is>
          <t>2.0</t>
        </is>
      </c>
    </row>
    <row r="7">
      <c r="A7" s="3" t="inlineStr">
        <is>
          <t>Control Reference:</t>
        </is>
      </c>
      <c r="B7" t="inlineStr">
        <is>
          <t>ISO/IEC 27001:2022 Control A.5.8</t>
        </is>
      </c>
    </row>
    <row r="8">
      <c r="A8" s="3" t="inlineStr">
        <is>
          <t>Purpose:</t>
        </is>
      </c>
      <c r="B8" t="inlineStr">
        <is>
          <t>Assess security integration across project lifecycle (6 phases)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0" customWidth="1" min="1" max="1"/>
    <col width="15" customWidth="1" min="2" max="2"/>
  </cols>
  <sheetData>
    <row r="1" ht="35" customHeight="1">
      <c r="A1" s="1" t="inlineStr">
        <is>
          <t>PHASE 0: PROJECT CLASSIFICATION\nDetermine Risk Level (High/Medium/Low)</t>
        </is>
      </c>
    </row>
    <row r="3">
      <c r="A3" s="3" t="inlineStr">
        <is>
          <t>Project Name:</t>
        </is>
      </c>
      <c r="B3" s="4" t="n"/>
    </row>
    <row r="4">
      <c r="A4" s="3" t="inlineStr">
        <is>
          <t>Project Manager:</t>
        </is>
      </c>
      <c r="B4" s="4" t="n"/>
    </row>
    <row r="6">
      <c r="A6" s="5" t="inlineStr">
        <is>
          <t>CLASSIFICATION CRITERIA (Answer Yes/No):</t>
        </is>
      </c>
    </row>
    <row r="7">
      <c r="A7" t="inlineStr">
        <is>
          <t>Processes Restricted or Confidential data?</t>
        </is>
      </c>
      <c r="B7" s="4" t="n"/>
    </row>
    <row r="8">
      <c r="A8" t="inlineStr">
        <is>
          <t>External-facing system/service?</t>
        </is>
      </c>
      <c r="B8" s="4" t="n"/>
    </row>
    <row r="9">
      <c r="A9" t="inlineStr">
        <is>
          <t>Handles payment card data (PCI DSS)?</t>
        </is>
      </c>
      <c r="B9" s="4" t="n"/>
    </row>
    <row r="10">
      <c r="A10" t="inlineStr">
        <is>
          <t>Subject to regulatory requirements (GDPR, HIPAA, etc.)?</t>
        </is>
      </c>
      <c r="B10" s="4" t="n"/>
    </row>
    <row r="11">
      <c r="A11" t="inlineStr">
        <is>
          <t>Critical business function (RTO &lt;4 hours)?</t>
        </is>
      </c>
      <c r="B11" s="4" t="n"/>
    </row>
    <row r="12">
      <c r="A12" t="inlineStr">
        <is>
          <t>Integrates with critical infrastructure?</t>
        </is>
      </c>
      <c r="B12" s="4" t="n"/>
    </row>
    <row r="14">
      <c r="A14" s="6" t="inlineStr">
        <is>
          <t>CALCULATED RISK LEVEL:</t>
        </is>
      </c>
      <c r="B14" s="7">
        <f>IF(COUNTIF(B7:B12,"Yes")&gt;=4,"High",IF(COUNTIF(B7:B12,"Yes")&gt;=2,"Medium","Low"))</f>
        <v/>
      </c>
    </row>
  </sheetData>
  <mergeCells count="1">
    <mergeCell ref="A1:F1"/>
  </mergeCells>
  <dataValidations count="1">
    <dataValidation sqref="B7 B8 B9 B10 B11 B12"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1: INITIATION</t>
        </is>
      </c>
    </row>
    <row r="3">
      <c r="A3" s="8" t="inlineStr">
        <is>
          <t>Activity</t>
        </is>
      </c>
      <c r="B3" s="8" t="inlineStr">
        <is>
          <t>Status</t>
        </is>
      </c>
      <c r="C3" s="8" t="inlineStr">
        <is>
          <t>Completion Date</t>
        </is>
      </c>
      <c r="D3" s="8" t="inlineStr">
        <is>
          <t>Evidence Link</t>
        </is>
      </c>
      <c r="E3" s="8" t="inlineStr">
        <is>
          <t>Notes</t>
        </is>
      </c>
    </row>
    <row r="4">
      <c r="A4" s="9" t="inlineStr">
        <is>
          <t>Identify security stakeholders and establish communication plan</t>
        </is>
      </c>
      <c r="B4" s="4" t="n"/>
      <c r="C4" s="10" t="n"/>
      <c r="D4" s="4" t="n"/>
      <c r="E4" s="4" t="n"/>
    </row>
    <row r="5">
      <c r="A5" s="9" t="inlineStr">
        <is>
          <t>Conduct initial risk assessment and document key risks</t>
        </is>
      </c>
      <c r="B5" s="4" t="n"/>
      <c r="C5" s="10" t="n"/>
      <c r="D5" s="4" t="n"/>
      <c r="E5" s="4" t="n"/>
    </row>
    <row r="6">
      <c r="A6" s="9" t="inlineStr">
        <is>
          <t>Define security requirements baseline</t>
        </is>
      </c>
      <c r="B6" s="4" t="n"/>
      <c r="C6" s="10" t="n"/>
      <c r="D6" s="4" t="n"/>
      <c r="E6" s="4" t="n"/>
    </row>
    <row r="7">
      <c r="A7" s="9" t="inlineStr">
        <is>
          <t>Allocate security budget and resources</t>
        </is>
      </c>
      <c r="B7" s="4" t="n"/>
      <c r="C7" s="10" t="n"/>
      <c r="D7" s="4" t="n"/>
      <c r="E7" s="4" t="n"/>
    </row>
    <row r="8">
      <c r="A8" s="9" t="inlineStr">
        <is>
          <t>Document security responsibilities in project charter</t>
        </is>
      </c>
      <c r="B8" s="4" t="n"/>
      <c r="C8" s="10" t="n"/>
      <c r="D8" s="4" t="n"/>
      <c r="E8" s="4" t="n"/>
    </row>
    <row r="9">
      <c r="A9" s="9" t="inlineStr">
        <is>
          <t>Obtain Phase 1 gate approval from security team</t>
        </is>
      </c>
      <c r="B9" s="4" t="n"/>
      <c r="C9" s="10" t="n"/>
      <c r="D9" s="4" t="n"/>
      <c r="E9" s="4" t="n"/>
    </row>
  </sheetData>
  <mergeCells count="1">
    <mergeCell ref="A1:E1"/>
  </mergeCells>
  <dataValidations count="1">
    <dataValidation sqref="B4 B5 B6 B7 B8 B9" showDropDown="0" showInputMessage="0" showErrorMessage="0" allowBlank="0" type="list">
      <formula1>"✅ Complete,🔄 In Progress,⚠️ Incomplete,❌ 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2: PLANNING</t>
        </is>
      </c>
    </row>
    <row r="3">
      <c r="A3" s="8" t="inlineStr">
        <is>
          <t>Activity</t>
        </is>
      </c>
      <c r="B3" s="8" t="inlineStr">
        <is>
          <t>Status</t>
        </is>
      </c>
      <c r="C3" s="8" t="inlineStr">
        <is>
          <t>Completion Date</t>
        </is>
      </c>
      <c r="D3" s="8" t="inlineStr">
        <is>
          <t>Evidence Link</t>
        </is>
      </c>
      <c r="E3" s="8" t="inlineStr">
        <is>
          <t>Notes</t>
        </is>
      </c>
    </row>
    <row r="4">
      <c r="A4" s="9" t="inlineStr">
        <is>
          <t>Document detailed security requirements (link to A.5.8.2 Register)</t>
        </is>
      </c>
      <c r="B4" s="4" t="n"/>
      <c r="C4" s="10" t="n"/>
      <c r="D4" s="4" t="n"/>
      <c r="E4" s="4" t="n"/>
    </row>
    <row r="5">
      <c r="A5" s="9" t="inlineStr">
        <is>
          <t>Conduct threat modeling and document threat scenarios</t>
        </is>
      </c>
      <c r="B5" s="4" t="n"/>
      <c r="C5" s="10" t="n"/>
      <c r="D5" s="4" t="n"/>
      <c r="E5" s="4" t="n"/>
    </row>
    <row r="6">
      <c r="A6" s="9" t="inlineStr">
        <is>
          <t>Develop security test plan and define test cases</t>
        </is>
      </c>
      <c r="B6" s="4" t="n"/>
      <c r="C6" s="10" t="n"/>
      <c r="D6" s="4" t="n"/>
      <c r="E6" s="4" t="n"/>
    </row>
    <row r="7">
      <c r="A7" s="9" t="inlineStr">
        <is>
          <t>Complete Data Protection Impact Assessment (DPIA) if required</t>
        </is>
      </c>
      <c r="B7" s="4" t="n"/>
      <c r="C7" s="10" t="n"/>
      <c r="D7" s="4" t="n"/>
      <c r="E7" s="4" t="n"/>
    </row>
    <row r="8">
      <c r="A8" s="9" t="inlineStr">
        <is>
          <t>Conduct vendor security assessment if third-party components</t>
        </is>
      </c>
      <c r="B8" s="4" t="n"/>
      <c r="C8" s="10" t="n"/>
      <c r="D8" s="4" t="n"/>
      <c r="E8" s="4" t="n"/>
    </row>
    <row r="9">
      <c r="A9" s="9" t="inlineStr">
        <is>
          <t>Define security monitoring and logging requirements</t>
        </is>
      </c>
      <c r="B9" s="4" t="n"/>
      <c r="C9" s="10" t="n"/>
      <c r="D9" s="4" t="n"/>
      <c r="E9" s="4" t="n"/>
    </row>
    <row r="10">
      <c r="A10" s="9" t="inlineStr">
        <is>
          <t>Establish incident response procedures</t>
        </is>
      </c>
      <c r="B10" s="4" t="n"/>
      <c r="C10" s="10" t="n"/>
      <c r="D10" s="4" t="n"/>
      <c r="E10" s="4" t="n"/>
    </row>
    <row r="11">
      <c r="A11" s="9" t="inlineStr">
        <is>
          <t>Obtain Phase 2 gate approval from security team</t>
        </is>
      </c>
      <c r="B11" s="4" t="n"/>
      <c r="C11" s="10" t="n"/>
      <c r="D11" s="4" t="n"/>
      <c r="E11" s="4" t="n"/>
    </row>
  </sheetData>
  <mergeCells count="1">
    <mergeCell ref="A1:E1"/>
  </mergeCells>
  <dataValidations count="1">
    <dataValidation sqref="B4 B5 B6 B7 B8 B9 B10 B11" showDropDown="0" showInputMessage="0" showErrorMessage="0" allowBlank="0" type="list">
      <formula1>"✅ Complete,🔄 In Progress,⚠️ Incomplete,❌ 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3: EXECUTION</t>
        </is>
      </c>
    </row>
    <row r="3">
      <c r="A3" s="8" t="inlineStr">
        <is>
          <t>Activity</t>
        </is>
      </c>
      <c r="B3" s="8" t="inlineStr">
        <is>
          <t>Status</t>
        </is>
      </c>
      <c r="C3" s="8" t="inlineStr">
        <is>
          <t>Completion Date</t>
        </is>
      </c>
      <c r="D3" s="8" t="inlineStr">
        <is>
          <t>Evidence Link</t>
        </is>
      </c>
      <c r="E3" s="8" t="inlineStr">
        <is>
          <t>Notes</t>
        </is>
      </c>
    </row>
    <row r="4">
      <c r="A4" s="9" t="inlineStr">
        <is>
          <t>Execute security testing per test plan (SAST, DAST, etc.)</t>
        </is>
      </c>
      <c r="B4" s="4" t="n"/>
      <c r="C4" s="10" t="n"/>
      <c r="D4" s="4" t="n"/>
      <c r="E4" s="4" t="n"/>
    </row>
    <row r="5">
      <c r="A5" s="9" t="inlineStr">
        <is>
          <t>Conduct penetration testing and document findings</t>
        </is>
      </c>
      <c r="B5" s="4" t="n"/>
      <c r="C5" s="10" t="n"/>
      <c r="D5" s="4" t="n"/>
      <c r="E5" s="4" t="n"/>
    </row>
    <row r="6">
      <c r="A6" s="9" t="inlineStr">
        <is>
          <t>Complete vulnerability scans and remediate critical/high findings</t>
        </is>
      </c>
      <c r="B6" s="4" t="n"/>
      <c r="C6" s="10" t="n"/>
      <c r="D6" s="4" t="n"/>
      <c r="E6" s="4" t="n"/>
    </row>
    <row r="7">
      <c r="A7" s="9" t="inlineStr">
        <is>
          <t>Review and approve security architecture/design</t>
        </is>
      </c>
      <c r="B7" s="4" t="n"/>
      <c r="C7" s="10" t="n"/>
      <c r="D7" s="4" t="n"/>
      <c r="E7" s="4" t="n"/>
    </row>
    <row r="8">
      <c r="A8" s="9" t="inlineStr">
        <is>
          <t>Verify secure coding practices and code review completion</t>
        </is>
      </c>
      <c r="B8" s="4" t="n"/>
      <c r="C8" s="10" t="n"/>
      <c r="D8" s="4" t="n"/>
      <c r="E8" s="4" t="n"/>
    </row>
    <row r="9">
      <c r="A9" s="9" t="inlineStr">
        <is>
          <t>Test security controls and verify implementation</t>
        </is>
      </c>
      <c r="B9" s="4" t="n"/>
      <c r="C9" s="10" t="n"/>
      <c r="D9" s="4" t="n"/>
      <c r="E9" s="4" t="n"/>
    </row>
    <row r="10">
      <c r="A10" s="9" t="inlineStr">
        <is>
          <t>Document security configurations and hardening</t>
        </is>
      </c>
      <c r="B10" s="4" t="n"/>
      <c r="C10" s="10" t="n"/>
      <c r="D10" s="4" t="n"/>
      <c r="E10" s="4" t="n"/>
    </row>
    <row r="11">
      <c r="A11" s="9" t="inlineStr">
        <is>
          <t>Update threat model with implementation changes</t>
        </is>
      </c>
      <c r="B11" s="4" t="n"/>
      <c r="C11" s="10" t="n"/>
      <c r="D11" s="4" t="n"/>
      <c r="E11" s="4" t="n"/>
    </row>
    <row r="12">
      <c r="A12" s="9" t="inlineStr">
        <is>
          <t>Obtain Phase 3 gate approval from security team</t>
        </is>
      </c>
      <c r="B12" s="4" t="n"/>
      <c r="C12" s="10" t="n"/>
      <c r="D12" s="4" t="n"/>
      <c r="E12" s="4" t="n"/>
    </row>
  </sheetData>
  <mergeCells count="1">
    <mergeCell ref="A1:E1"/>
  </mergeCells>
  <dataValidations count="1">
    <dataValidation sqref="B4 B5 B6 B7 B8 B9 B10 B11 B12" showDropDown="0" showInputMessage="0" showErrorMessage="0" allowBlank="0" type="list">
      <formula1>"✅ Complete,🔄 In Progress,⚠️ Incomplete,❌ 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4: MONITORING</t>
        </is>
      </c>
    </row>
    <row r="3">
      <c r="A3" s="8" t="inlineStr">
        <is>
          <t>Activity</t>
        </is>
      </c>
      <c r="B3" s="8" t="inlineStr">
        <is>
          <t>Status</t>
        </is>
      </c>
      <c r="C3" s="8" t="inlineStr">
        <is>
          <t>Completion Date</t>
        </is>
      </c>
      <c r="D3" s="8" t="inlineStr">
        <is>
          <t>Evidence Link</t>
        </is>
      </c>
      <c r="E3" s="8" t="inlineStr">
        <is>
          <t>Notes</t>
        </is>
      </c>
    </row>
    <row r="4">
      <c r="A4" s="9" t="inlineStr">
        <is>
          <t>Monitor ongoing compliance with security requirements</t>
        </is>
      </c>
      <c r="B4" s="4" t="n"/>
      <c r="C4" s="10" t="n"/>
      <c r="D4" s="4" t="n"/>
      <c r="E4" s="4" t="n"/>
    </row>
    <row r="5">
      <c r="A5" s="9" t="inlineStr">
        <is>
          <t>Review and update risk assessments for changes</t>
        </is>
      </c>
      <c r="B5" s="4" t="n"/>
      <c r="C5" s="10" t="n"/>
      <c r="D5" s="4" t="n"/>
      <c r="E5" s="4" t="n"/>
    </row>
    <row r="6">
      <c r="A6" s="9" t="inlineStr">
        <is>
          <t>Assess security impact of change requests</t>
        </is>
      </c>
      <c r="B6" s="4" t="n"/>
      <c r="C6" s="10" t="n"/>
      <c r="D6" s="4" t="n"/>
      <c r="E6" s="4" t="n"/>
    </row>
    <row r="7">
      <c r="A7" s="9" t="inlineStr">
        <is>
          <t>Track security metrics and KPIs</t>
        </is>
      </c>
      <c r="B7" s="4" t="n"/>
      <c r="C7" s="10" t="n"/>
      <c r="D7" s="4" t="n"/>
      <c r="E7" s="4" t="n"/>
    </row>
    <row r="8">
      <c r="A8" s="9" t="inlineStr">
        <is>
          <t>Obtain Phase 4 gate approval for major milestones</t>
        </is>
      </c>
      <c r="B8" s="4" t="n"/>
      <c r="C8" s="10" t="n"/>
      <c r="D8" s="4" t="n"/>
      <c r="E8" s="4" t="n"/>
    </row>
  </sheetData>
  <mergeCells count="1">
    <mergeCell ref="A1:E1"/>
  </mergeCells>
  <dataValidations count="1">
    <dataValidation sqref="B4 B5 B6 B7 B8" showDropDown="0" showInputMessage="0" showErrorMessage="0" allowBlank="0" type="list">
      <formula1>"✅ Complete,🔄 In Progress,⚠️ Incomplete,❌ 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5: CLOSURE</t>
        </is>
      </c>
    </row>
    <row r="3">
      <c r="A3" s="8" t="inlineStr">
        <is>
          <t>Activity</t>
        </is>
      </c>
      <c r="B3" s="8" t="inlineStr">
        <is>
          <t>Status</t>
        </is>
      </c>
      <c r="C3" s="8" t="inlineStr">
        <is>
          <t>Completion Date</t>
        </is>
      </c>
      <c r="D3" s="8" t="inlineStr">
        <is>
          <t>Evidence Link</t>
        </is>
      </c>
      <c r="E3" s="8" t="inlineStr">
        <is>
          <t>Notes</t>
        </is>
      </c>
    </row>
    <row r="4">
      <c r="A4" s="9" t="inlineStr">
        <is>
          <t>Complete security handover documentation</t>
        </is>
      </c>
      <c r="B4" s="4" t="n"/>
      <c r="C4" s="10" t="n"/>
      <c r="D4" s="4" t="n"/>
      <c r="E4" s="4" t="n"/>
    </row>
    <row r="5">
      <c r="A5" s="9" t="inlineStr">
        <is>
          <t>Verify all security testing complete and passed</t>
        </is>
      </c>
      <c r="B5" s="4" t="n"/>
      <c r="C5" s="10" t="n"/>
      <c r="D5" s="4" t="n"/>
      <c r="E5" s="4" t="n"/>
    </row>
    <row r="6">
      <c r="A6" s="9" t="inlineStr">
        <is>
          <t>Document residual risks and obtain risk acceptance</t>
        </is>
      </c>
      <c r="B6" s="4" t="n"/>
      <c r="C6" s="10" t="n"/>
      <c r="D6" s="4" t="n"/>
      <c r="E6" s="4" t="n"/>
    </row>
    <row r="7">
      <c r="A7" s="9" t="inlineStr">
        <is>
          <t>Conduct lessons learned session with security team</t>
        </is>
      </c>
      <c r="B7" s="4" t="n"/>
      <c r="C7" s="10" t="n"/>
      <c r="D7" s="4" t="n"/>
      <c r="E7" s="4" t="n"/>
    </row>
    <row r="8">
      <c r="A8" s="9" t="inlineStr">
        <is>
          <t>Archive security documentation and evidence</t>
        </is>
      </c>
      <c r="B8" s="4" t="n"/>
      <c r="C8" s="10" t="n"/>
      <c r="D8" s="4" t="n"/>
      <c r="E8" s="4" t="n"/>
    </row>
    <row r="9">
      <c r="A9" s="9" t="inlineStr">
        <is>
          <t>Obtain final security sign-off for production deployment</t>
        </is>
      </c>
      <c r="B9" s="4" t="n"/>
      <c r="C9" s="10" t="n"/>
      <c r="D9" s="4" t="n"/>
      <c r="E9" s="4" t="n"/>
    </row>
  </sheetData>
  <mergeCells count="1">
    <mergeCell ref="A1:E1"/>
  </mergeCells>
  <dataValidations count="1">
    <dataValidation sqref="B4 B5 B6 B7 B8 B9" showDropDown="0" showInputMessage="0" showErrorMessage="0" allowBlank="0" type="list">
      <formula1>"✅ Complete,🔄 In Progress,⚠️ Incomplete,❌ 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5" customWidth="1" min="2" max="2"/>
  </cols>
  <sheetData>
    <row r="1" ht="35" customHeight="1">
      <c r="A1" s="1" t="inlineStr">
        <is>
          <t>COMPLIANCE DASHBOARD\nAutomated Phase Completion Scores</t>
        </is>
      </c>
    </row>
    <row r="3">
      <c r="A3" s="2" t="inlineStr">
        <is>
          <t>PROJECT INFORMATION</t>
        </is>
      </c>
    </row>
    <row r="5">
      <c r="A5" s="3" t="inlineStr">
        <is>
          <t>Project Name:</t>
        </is>
      </c>
      <c r="B5">
        <f>'2. Project Classification'!B3</f>
        <v/>
      </c>
    </row>
    <row r="6">
      <c r="A6" s="3" t="inlineStr">
        <is>
          <t>Risk Classification:</t>
        </is>
      </c>
      <c r="B6" s="11">
        <f>'2. Project Classification'!B18</f>
        <v/>
      </c>
    </row>
    <row r="7">
      <c r="A7" s="3" t="inlineStr">
        <is>
          <t>Assessment Date:</t>
        </is>
      </c>
      <c r="B7" s="12">
        <f>TODAY()</f>
        <v/>
      </c>
    </row>
    <row r="9">
      <c r="A9" s="2" t="inlineStr">
        <is>
          <t>PHASE COMPLETION SCORES</t>
        </is>
      </c>
    </row>
    <row r="10">
      <c r="A10" s="13" t="inlineStr">
        <is>
          <t>Phase</t>
        </is>
      </c>
      <c r="B10" s="13" t="inlineStr">
        <is>
          <t>Completion %</t>
        </is>
      </c>
    </row>
    <row r="11">
      <c r="A11" t="inlineStr">
        <is>
          <t>Initiation</t>
        </is>
      </c>
      <c r="B11" s="14">
        <f>COUNTIF('3. Initiation Phase'!B4:B9,"✅ Complete")/(COUNTA('3. Initiation Phase'!B4:B9)-COUNTIF('3. Initiation Phase'!B4:B9,"N/A"))</f>
        <v/>
      </c>
    </row>
    <row r="12">
      <c r="A12" t="inlineStr">
        <is>
          <t>Planning</t>
        </is>
      </c>
      <c r="B12" s="14">
        <f>COUNTIF('4. Planning Phase'!B4:B11,"✅ Complete")/(COUNTA('4. Planning Phase'!B4:B11)-COUNTIF('4. Planning Phase'!B4:B11,"N/A"))</f>
        <v/>
      </c>
    </row>
    <row r="13">
      <c r="A13" t="inlineStr">
        <is>
          <t>Execution</t>
        </is>
      </c>
      <c r="B13" s="14">
        <f>COUNTIF('5. Execution Phase'!B4:B12,"✅ Complete")/(COUNTA('5. Execution Phase'!B4:B12)-COUNTIF('5. Execution Phase'!B4:B12,"N/A"))</f>
        <v/>
      </c>
    </row>
    <row r="14">
      <c r="A14" t="inlineStr">
        <is>
          <t>Monitoring</t>
        </is>
      </c>
      <c r="B14" s="14">
        <f>COUNTIF('6. Monitoring Phase'!B4:B8,"✅ Complete")/(COUNTA('6. Monitoring Phase'!B4:B8)-COUNTIF('6. Monitoring Phase'!B4:B8,"N/A"))</f>
        <v/>
      </c>
    </row>
    <row r="15">
      <c r="A15" t="inlineStr">
        <is>
          <t>Closure</t>
        </is>
      </c>
      <c r="B15" s="14">
        <f>COUNTIF('7. Closure Phase'!B4:B9,"✅ Complete")/(COUNTA('7. Closure Phase'!B4:B9)-COUNTIF('7. Closure Phase'!B4:B9,"N/A"))</f>
        <v/>
      </c>
    </row>
    <row r="17">
      <c r="A17" s="6" t="inlineStr">
        <is>
          <t>OVERALL COMPLIANCE:</t>
        </is>
      </c>
      <c r="B17" s="15">
        <f>AVERAGE(B12:B16)</f>
        <v/>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5" customWidth="1" min="4" max="4"/>
    <col width="15" customWidth="1" min="5" max="5"/>
    <col width="18" customWidth="1" min="6" max="6"/>
  </cols>
  <sheetData>
    <row r="1" ht="30" customHeight="1">
      <c r="A1" s="1" t="inlineStr">
        <is>
          <t>EVIDENCE REGISTER\nAudit Evidence Tracking</t>
        </is>
      </c>
    </row>
    <row r="3">
      <c r="A3" s="8" t="inlineStr">
        <is>
          <t>Evidence ID</t>
        </is>
      </c>
      <c r="B3" s="8" t="inlineStr">
        <is>
          <t>Phase</t>
        </is>
      </c>
      <c r="C3" s="8" t="inlineStr">
        <is>
          <t>Description</t>
        </is>
      </c>
      <c r="D3" s="8" t="inlineStr">
        <is>
          <t>Location/Path</t>
        </is>
      </c>
      <c r="E3" s="8" t="inlineStr">
        <is>
          <t>Date Collected</t>
        </is>
      </c>
      <c r="F3" s="8" t="inlineStr">
        <is>
          <t>Status</t>
        </is>
      </c>
    </row>
    <row r="4">
      <c r="A4" s="16">
        <f>TEXT(ROW()-3,"EV-000")</f>
        <v/>
      </c>
      <c r="B4" s="4" t="n"/>
      <c r="C4" s="4" t="n"/>
      <c r="D4" s="4" t="n"/>
      <c r="E4" s="10" t="n"/>
      <c r="F4" s="4" t="n"/>
    </row>
    <row r="5">
      <c r="A5" s="16">
        <f>TEXT(ROW()-3,"EV-000")</f>
        <v/>
      </c>
      <c r="B5" s="4" t="n"/>
      <c r="C5" s="4" t="n"/>
      <c r="D5" s="4" t="n"/>
      <c r="E5" s="10" t="n"/>
      <c r="F5" s="4" t="n"/>
    </row>
    <row r="6">
      <c r="A6" s="16">
        <f>TEXT(ROW()-3,"EV-000")</f>
        <v/>
      </c>
      <c r="B6" s="4" t="n"/>
      <c r="C6" s="4" t="n"/>
      <c r="D6" s="4" t="n"/>
      <c r="E6" s="10" t="n"/>
      <c r="F6" s="4" t="n"/>
    </row>
    <row r="7">
      <c r="A7" s="16">
        <f>TEXT(ROW()-3,"EV-000")</f>
        <v/>
      </c>
      <c r="B7" s="4" t="n"/>
      <c r="C7" s="4" t="n"/>
      <c r="D7" s="4" t="n"/>
      <c r="E7" s="10" t="n"/>
      <c r="F7" s="4" t="n"/>
    </row>
    <row r="8">
      <c r="A8" s="16">
        <f>TEXT(ROW()-3,"EV-000")</f>
        <v/>
      </c>
      <c r="B8" s="4" t="n"/>
      <c r="C8" s="4" t="n"/>
      <c r="D8" s="4" t="n"/>
      <c r="E8" s="10" t="n"/>
      <c r="F8" s="4" t="n"/>
    </row>
    <row r="9">
      <c r="A9" s="16">
        <f>TEXT(ROW()-3,"EV-000")</f>
        <v/>
      </c>
      <c r="B9" s="4" t="n"/>
      <c r="C9" s="4" t="n"/>
      <c r="D9" s="4" t="n"/>
      <c r="E9" s="10" t="n"/>
      <c r="F9" s="4" t="n"/>
    </row>
    <row r="10">
      <c r="A10" s="16">
        <f>TEXT(ROW()-3,"EV-000")</f>
        <v/>
      </c>
      <c r="B10" s="4" t="n"/>
      <c r="C10" s="4" t="n"/>
      <c r="D10" s="4" t="n"/>
      <c r="E10" s="10" t="n"/>
      <c r="F10" s="4" t="n"/>
    </row>
    <row r="11">
      <c r="A11" s="16">
        <f>TEXT(ROW()-3,"EV-000")</f>
        <v/>
      </c>
      <c r="B11" s="4" t="n"/>
      <c r="C11" s="4" t="n"/>
      <c r="D11" s="4" t="n"/>
      <c r="E11" s="10" t="n"/>
      <c r="F11" s="4" t="n"/>
    </row>
    <row r="12">
      <c r="A12" s="16">
        <f>TEXT(ROW()-3,"EV-000")</f>
        <v/>
      </c>
      <c r="B12" s="4" t="n"/>
      <c r="C12" s="4" t="n"/>
      <c r="D12" s="4" t="n"/>
      <c r="E12" s="10" t="n"/>
      <c r="F12" s="4" t="n"/>
    </row>
    <row r="13">
      <c r="A13" s="16">
        <f>TEXT(ROW()-3,"EV-000")</f>
        <v/>
      </c>
      <c r="B13" s="4" t="n"/>
      <c r="C13" s="4" t="n"/>
      <c r="D13" s="4" t="n"/>
      <c r="E13" s="10" t="n"/>
      <c r="F13" s="4" t="n"/>
    </row>
    <row r="14">
      <c r="A14" s="16">
        <f>TEXT(ROW()-3,"EV-000")</f>
        <v/>
      </c>
      <c r="B14" s="4" t="n"/>
      <c r="C14" s="4" t="n"/>
      <c r="D14" s="4" t="n"/>
      <c r="E14" s="10" t="n"/>
      <c r="F14" s="4" t="n"/>
    </row>
    <row r="15">
      <c r="A15" s="16">
        <f>TEXT(ROW()-3,"EV-000")</f>
        <v/>
      </c>
      <c r="B15" s="4" t="n"/>
      <c r="C15" s="4" t="n"/>
      <c r="D15" s="4" t="n"/>
      <c r="E15" s="10" t="n"/>
      <c r="F15" s="4" t="n"/>
    </row>
    <row r="16">
      <c r="A16" s="16">
        <f>TEXT(ROW()-3,"EV-000")</f>
        <v/>
      </c>
      <c r="B16" s="4" t="n"/>
      <c r="C16" s="4" t="n"/>
      <c r="D16" s="4" t="n"/>
      <c r="E16" s="10" t="n"/>
      <c r="F16" s="4" t="n"/>
    </row>
    <row r="17">
      <c r="A17" s="16">
        <f>TEXT(ROW()-3,"EV-000")</f>
        <v/>
      </c>
      <c r="B17" s="4" t="n"/>
      <c r="C17" s="4" t="n"/>
      <c r="D17" s="4" t="n"/>
      <c r="E17" s="10" t="n"/>
      <c r="F17" s="4" t="n"/>
    </row>
    <row r="18">
      <c r="A18" s="16">
        <f>TEXT(ROW()-3,"EV-000")</f>
        <v/>
      </c>
      <c r="B18" s="4" t="n"/>
      <c r="C18" s="4" t="n"/>
      <c r="D18" s="4" t="n"/>
      <c r="E18" s="10" t="n"/>
      <c r="F18" s="4" t="n"/>
    </row>
    <row r="19">
      <c r="A19" s="16">
        <f>TEXT(ROW()-3,"EV-000")</f>
        <v/>
      </c>
      <c r="B19" s="4" t="n"/>
      <c r="C19" s="4" t="n"/>
      <c r="D19" s="4" t="n"/>
      <c r="E19" s="10" t="n"/>
      <c r="F19" s="4" t="n"/>
    </row>
    <row r="20">
      <c r="A20" s="16">
        <f>TEXT(ROW()-3,"EV-000")</f>
        <v/>
      </c>
      <c r="B20" s="4" t="n"/>
      <c r="C20" s="4" t="n"/>
      <c r="D20" s="4" t="n"/>
      <c r="E20" s="10" t="n"/>
      <c r="F20" s="4" t="n"/>
    </row>
    <row r="21">
      <c r="A21" s="16">
        <f>TEXT(ROW()-3,"EV-000")</f>
        <v/>
      </c>
      <c r="B21" s="4" t="n"/>
      <c r="C21" s="4" t="n"/>
      <c r="D21" s="4" t="n"/>
      <c r="E21" s="10" t="n"/>
      <c r="F21" s="4" t="n"/>
    </row>
    <row r="22">
      <c r="A22" s="16">
        <f>TEXT(ROW()-3,"EV-000")</f>
        <v/>
      </c>
      <c r="B22" s="4" t="n"/>
      <c r="C22" s="4" t="n"/>
      <c r="D22" s="4" t="n"/>
      <c r="E22" s="10" t="n"/>
      <c r="F22" s="4" t="n"/>
    </row>
    <row r="23">
      <c r="A23" s="16">
        <f>TEXT(ROW()-3,"EV-000")</f>
        <v/>
      </c>
      <c r="B23" s="4" t="n"/>
      <c r="C23" s="4" t="n"/>
      <c r="D23" s="4" t="n"/>
      <c r="E23" s="10" t="n"/>
      <c r="F23" s="4" t="n"/>
    </row>
    <row r="24">
      <c r="A24" s="16">
        <f>TEXT(ROW()-3,"EV-000")</f>
        <v/>
      </c>
      <c r="B24" s="4" t="n"/>
      <c r="C24" s="4" t="n"/>
      <c r="D24" s="4" t="n"/>
      <c r="E24" s="10" t="n"/>
      <c r="F24" s="4" t="n"/>
    </row>
    <row r="25">
      <c r="A25" s="16">
        <f>TEXT(ROW()-3,"EV-000")</f>
        <v/>
      </c>
      <c r="B25" s="4" t="n"/>
      <c r="C25" s="4" t="n"/>
      <c r="D25" s="4" t="n"/>
      <c r="E25" s="10" t="n"/>
      <c r="F25" s="4" t="n"/>
    </row>
    <row r="26">
      <c r="A26" s="16">
        <f>TEXT(ROW()-3,"EV-000")</f>
        <v/>
      </c>
      <c r="B26" s="4" t="n"/>
      <c r="C26" s="4" t="n"/>
      <c r="D26" s="4" t="n"/>
      <c r="E26" s="10" t="n"/>
      <c r="F26" s="4" t="n"/>
    </row>
    <row r="27">
      <c r="A27" s="16">
        <f>TEXT(ROW()-3,"EV-000")</f>
        <v/>
      </c>
      <c r="B27" s="4" t="n"/>
      <c r="C27" s="4" t="n"/>
      <c r="D27" s="4" t="n"/>
      <c r="E27" s="10" t="n"/>
      <c r="F27" s="4" t="n"/>
    </row>
    <row r="28">
      <c r="A28" s="16">
        <f>TEXT(ROW()-3,"EV-000")</f>
        <v/>
      </c>
      <c r="B28" s="4" t="n"/>
      <c r="C28" s="4" t="n"/>
      <c r="D28" s="4" t="n"/>
      <c r="E28" s="10" t="n"/>
      <c r="F28" s="4" t="n"/>
    </row>
    <row r="29">
      <c r="A29" s="16">
        <f>TEXT(ROW()-3,"EV-000")</f>
        <v/>
      </c>
      <c r="B29" s="4" t="n"/>
      <c r="C29" s="4" t="n"/>
      <c r="D29" s="4" t="n"/>
      <c r="E29" s="10" t="n"/>
      <c r="F29" s="4" t="n"/>
    </row>
    <row r="30">
      <c r="A30" s="16">
        <f>TEXT(ROW()-3,"EV-000")</f>
        <v/>
      </c>
      <c r="B30" s="4" t="n"/>
      <c r="C30" s="4" t="n"/>
      <c r="D30" s="4" t="n"/>
      <c r="E30" s="10" t="n"/>
      <c r="F30" s="4" t="n"/>
    </row>
    <row r="31">
      <c r="A31" s="16">
        <f>TEXT(ROW()-3,"EV-000")</f>
        <v/>
      </c>
      <c r="B31" s="4" t="n"/>
      <c r="C31" s="4" t="n"/>
      <c r="D31" s="4" t="n"/>
      <c r="E31" s="10" t="n"/>
      <c r="F31" s="4" t="n"/>
    </row>
    <row r="32">
      <c r="A32" s="16">
        <f>TEXT(ROW()-3,"EV-000")</f>
        <v/>
      </c>
      <c r="B32" s="4" t="n"/>
      <c r="C32" s="4" t="n"/>
      <c r="D32" s="4" t="n"/>
      <c r="E32" s="10" t="n"/>
      <c r="F32" s="4" t="n"/>
    </row>
    <row r="33">
      <c r="A33" s="16">
        <f>TEXT(ROW()-3,"EV-000")</f>
        <v/>
      </c>
      <c r="B33" s="4" t="n"/>
      <c r="C33" s="4" t="n"/>
      <c r="D33" s="4" t="n"/>
      <c r="E33" s="10" t="n"/>
      <c r="F33" s="4" t="n"/>
    </row>
    <row r="34">
      <c r="A34" s="16">
        <f>TEXT(ROW()-3,"EV-000")</f>
        <v/>
      </c>
      <c r="B34" s="4" t="n"/>
      <c r="C34" s="4" t="n"/>
      <c r="D34" s="4" t="n"/>
      <c r="E34" s="10" t="n"/>
      <c r="F34" s="4" t="n"/>
    </row>
    <row r="35">
      <c r="A35" s="16">
        <f>TEXT(ROW()-3,"EV-000")</f>
        <v/>
      </c>
      <c r="B35" s="4" t="n"/>
      <c r="C35" s="4" t="n"/>
      <c r="D35" s="4" t="n"/>
      <c r="E35" s="10" t="n"/>
      <c r="F35" s="4" t="n"/>
    </row>
    <row r="36">
      <c r="A36" s="16">
        <f>TEXT(ROW()-3,"EV-000")</f>
        <v/>
      </c>
      <c r="B36" s="4" t="n"/>
      <c r="C36" s="4" t="n"/>
      <c r="D36" s="4" t="n"/>
      <c r="E36" s="10" t="n"/>
      <c r="F36" s="4" t="n"/>
    </row>
    <row r="37">
      <c r="A37" s="16">
        <f>TEXT(ROW()-3,"EV-000")</f>
        <v/>
      </c>
      <c r="B37" s="4" t="n"/>
      <c r="C37" s="4" t="n"/>
      <c r="D37" s="4" t="n"/>
      <c r="E37" s="10" t="n"/>
      <c r="F37" s="4" t="n"/>
    </row>
    <row r="38">
      <c r="A38" s="16">
        <f>TEXT(ROW()-3,"EV-000")</f>
        <v/>
      </c>
      <c r="B38" s="4" t="n"/>
      <c r="C38" s="4" t="n"/>
      <c r="D38" s="4" t="n"/>
      <c r="E38" s="10" t="n"/>
      <c r="F38" s="4" t="n"/>
    </row>
    <row r="39">
      <c r="A39" s="16">
        <f>TEXT(ROW()-3,"EV-000")</f>
        <v/>
      </c>
      <c r="B39" s="4" t="n"/>
      <c r="C39" s="4" t="n"/>
      <c r="D39" s="4" t="n"/>
      <c r="E39" s="10" t="n"/>
      <c r="F39" s="4" t="n"/>
    </row>
    <row r="40">
      <c r="A40" s="16">
        <f>TEXT(ROW()-3,"EV-000")</f>
        <v/>
      </c>
      <c r="B40" s="4" t="n"/>
      <c r="C40" s="4" t="n"/>
      <c r="D40" s="4" t="n"/>
      <c r="E40" s="10" t="n"/>
      <c r="F40" s="4" t="n"/>
    </row>
    <row r="41">
      <c r="A41" s="16">
        <f>TEXT(ROW()-3,"EV-000")</f>
        <v/>
      </c>
      <c r="B41" s="4" t="n"/>
      <c r="C41" s="4" t="n"/>
      <c r="D41" s="4" t="n"/>
      <c r="E41" s="10" t="n"/>
      <c r="F41" s="4" t="n"/>
    </row>
    <row r="42">
      <c r="A42" s="16">
        <f>TEXT(ROW()-3,"EV-000")</f>
        <v/>
      </c>
      <c r="B42" s="4" t="n"/>
      <c r="C42" s="4" t="n"/>
      <c r="D42" s="4" t="n"/>
      <c r="E42" s="10" t="n"/>
      <c r="F42" s="4" t="n"/>
    </row>
    <row r="43">
      <c r="A43" s="16">
        <f>TEXT(ROW()-3,"EV-000")</f>
        <v/>
      </c>
      <c r="B43" s="4" t="n"/>
      <c r="C43" s="4" t="n"/>
      <c r="D43" s="4" t="n"/>
      <c r="E43" s="10" t="n"/>
      <c r="F43" s="4" t="n"/>
    </row>
    <row r="44">
      <c r="A44" s="16">
        <f>TEXT(ROW()-3,"EV-000")</f>
        <v/>
      </c>
      <c r="B44" s="4" t="n"/>
      <c r="C44" s="4" t="n"/>
      <c r="D44" s="4" t="n"/>
      <c r="E44" s="10" t="n"/>
      <c r="F44" s="4" t="n"/>
    </row>
    <row r="45">
      <c r="A45" s="16">
        <f>TEXT(ROW()-3,"EV-000")</f>
        <v/>
      </c>
      <c r="B45" s="4" t="n"/>
      <c r="C45" s="4" t="n"/>
      <c r="D45" s="4" t="n"/>
      <c r="E45" s="10" t="n"/>
      <c r="F45" s="4" t="n"/>
    </row>
    <row r="46">
      <c r="A46" s="16">
        <f>TEXT(ROW()-3,"EV-000")</f>
        <v/>
      </c>
      <c r="B46" s="4" t="n"/>
      <c r="C46" s="4" t="n"/>
      <c r="D46" s="4" t="n"/>
      <c r="E46" s="10" t="n"/>
      <c r="F46" s="4" t="n"/>
    </row>
    <row r="47">
      <c r="A47" s="16">
        <f>TEXT(ROW()-3,"EV-000")</f>
        <v/>
      </c>
      <c r="B47" s="4" t="n"/>
      <c r="C47" s="4" t="n"/>
      <c r="D47" s="4" t="n"/>
      <c r="E47" s="10" t="n"/>
      <c r="F47" s="4" t="n"/>
    </row>
    <row r="48">
      <c r="A48" s="16">
        <f>TEXT(ROW()-3,"EV-000")</f>
        <v/>
      </c>
      <c r="B48" s="4" t="n"/>
      <c r="C48" s="4" t="n"/>
      <c r="D48" s="4" t="n"/>
      <c r="E48" s="10" t="n"/>
      <c r="F48" s="4" t="n"/>
    </row>
    <row r="49">
      <c r="A49" s="16">
        <f>TEXT(ROW()-3,"EV-000")</f>
        <v/>
      </c>
      <c r="B49" s="4" t="n"/>
      <c r="C49" s="4" t="n"/>
      <c r="D49" s="4" t="n"/>
      <c r="E49" s="10" t="n"/>
      <c r="F49" s="4" t="n"/>
    </row>
    <row r="50">
      <c r="A50" s="16">
        <f>TEXT(ROW()-3,"EV-000")</f>
        <v/>
      </c>
      <c r="B50" s="4" t="n"/>
      <c r="C50" s="4" t="n"/>
      <c r="D50" s="4" t="n"/>
      <c r="E50" s="10" t="n"/>
      <c r="F50" s="4" t="n"/>
    </row>
    <row r="51">
      <c r="A51" s="16">
        <f>TEXT(ROW()-3,"EV-000")</f>
        <v/>
      </c>
      <c r="B51" s="4" t="n"/>
      <c r="C51" s="4" t="n"/>
      <c r="D51" s="4" t="n"/>
      <c r="E51" s="10" t="n"/>
      <c r="F51" s="4" t="n"/>
    </row>
    <row r="52">
      <c r="A52" s="16">
        <f>TEXT(ROW()-3,"EV-000")</f>
        <v/>
      </c>
      <c r="B52" s="4" t="n"/>
      <c r="C52" s="4" t="n"/>
      <c r="D52" s="4" t="n"/>
      <c r="E52" s="10" t="n"/>
      <c r="F52" s="4" t="n"/>
    </row>
    <row r="53">
      <c r="A53" s="16">
        <f>TEXT(ROW()-3,"EV-000")</f>
        <v/>
      </c>
      <c r="B53" s="4" t="n"/>
      <c r="C53" s="4" t="n"/>
      <c r="D53" s="4" t="n"/>
      <c r="E53" s="10" t="n"/>
      <c r="F53" s="4" t="n"/>
    </row>
    <row r="54">
      <c r="A54" s="16">
        <f>TEXT(ROW()-3,"EV-000")</f>
        <v/>
      </c>
      <c r="B54" s="4" t="n"/>
      <c r="C54" s="4" t="n"/>
      <c r="D54" s="4" t="n"/>
      <c r="E54" s="10" t="n"/>
      <c r="F54" s="4" t="n"/>
    </row>
    <row r="55">
      <c r="A55" s="16">
        <f>TEXT(ROW()-3,"EV-000")</f>
        <v/>
      </c>
      <c r="B55" s="4" t="n"/>
      <c r="C55" s="4" t="n"/>
      <c r="D55" s="4" t="n"/>
      <c r="E55" s="10" t="n"/>
      <c r="F55" s="4" t="n"/>
    </row>
    <row r="56">
      <c r="A56" s="16">
        <f>TEXT(ROW()-3,"EV-000")</f>
        <v/>
      </c>
      <c r="B56" s="4" t="n"/>
      <c r="C56" s="4" t="n"/>
      <c r="D56" s="4" t="n"/>
      <c r="E56" s="10" t="n"/>
      <c r="F56" s="4" t="n"/>
    </row>
    <row r="57">
      <c r="A57" s="16">
        <f>TEXT(ROW()-3,"EV-000")</f>
        <v/>
      </c>
      <c r="B57" s="4" t="n"/>
      <c r="C57" s="4" t="n"/>
      <c r="D57" s="4" t="n"/>
      <c r="E57" s="10" t="n"/>
      <c r="F57" s="4" t="n"/>
    </row>
    <row r="58">
      <c r="A58" s="16">
        <f>TEXT(ROW()-3,"EV-000")</f>
        <v/>
      </c>
      <c r="B58" s="4" t="n"/>
      <c r="C58" s="4" t="n"/>
      <c r="D58" s="4" t="n"/>
      <c r="E58" s="10" t="n"/>
      <c r="F58" s="4" t="n"/>
    </row>
    <row r="59">
      <c r="A59" s="16">
        <f>TEXT(ROW()-3,"EV-000")</f>
        <v/>
      </c>
      <c r="B59" s="4" t="n"/>
      <c r="C59" s="4" t="n"/>
      <c r="D59" s="4" t="n"/>
      <c r="E59" s="10" t="n"/>
      <c r="F59" s="4" t="n"/>
    </row>
    <row r="60">
      <c r="A60" s="16">
        <f>TEXT(ROW()-3,"EV-000")</f>
        <v/>
      </c>
      <c r="B60" s="4" t="n"/>
      <c r="C60" s="4" t="n"/>
      <c r="D60" s="4" t="n"/>
      <c r="E60" s="10" t="n"/>
      <c r="F60" s="4" t="n"/>
    </row>
    <row r="61">
      <c r="A61" s="16">
        <f>TEXT(ROW()-3,"EV-000")</f>
        <v/>
      </c>
      <c r="B61" s="4" t="n"/>
      <c r="C61" s="4" t="n"/>
      <c r="D61" s="4" t="n"/>
      <c r="E61" s="10" t="n"/>
      <c r="F61" s="4" t="n"/>
    </row>
    <row r="62">
      <c r="A62" s="16">
        <f>TEXT(ROW()-3,"EV-000")</f>
        <v/>
      </c>
      <c r="B62" s="4" t="n"/>
      <c r="C62" s="4" t="n"/>
      <c r="D62" s="4" t="n"/>
      <c r="E62" s="10" t="n"/>
      <c r="F62" s="4" t="n"/>
    </row>
    <row r="63">
      <c r="A63" s="16">
        <f>TEXT(ROW()-3,"EV-000")</f>
        <v/>
      </c>
      <c r="B63" s="4" t="n"/>
      <c r="C63" s="4" t="n"/>
      <c r="D63" s="4" t="n"/>
      <c r="E63" s="10" t="n"/>
      <c r="F63" s="4" t="n"/>
    </row>
    <row r="64">
      <c r="A64" s="16">
        <f>TEXT(ROW()-3,"EV-000")</f>
        <v/>
      </c>
      <c r="B64" s="4" t="n"/>
      <c r="C64" s="4" t="n"/>
      <c r="D64" s="4" t="n"/>
      <c r="E64" s="10" t="n"/>
      <c r="F64" s="4" t="n"/>
    </row>
    <row r="65">
      <c r="A65" s="16">
        <f>TEXT(ROW()-3,"EV-000")</f>
        <v/>
      </c>
      <c r="B65" s="4" t="n"/>
      <c r="C65" s="4" t="n"/>
      <c r="D65" s="4" t="n"/>
      <c r="E65" s="10" t="n"/>
      <c r="F65" s="4" t="n"/>
    </row>
    <row r="66">
      <c r="A66" s="16">
        <f>TEXT(ROW()-3,"EV-000")</f>
        <v/>
      </c>
      <c r="B66" s="4" t="n"/>
      <c r="C66" s="4" t="n"/>
      <c r="D66" s="4" t="n"/>
      <c r="E66" s="10" t="n"/>
      <c r="F66" s="4" t="n"/>
    </row>
    <row r="67">
      <c r="A67" s="16">
        <f>TEXT(ROW()-3,"EV-000")</f>
        <v/>
      </c>
      <c r="B67" s="4" t="n"/>
      <c r="C67" s="4" t="n"/>
      <c r="D67" s="4" t="n"/>
      <c r="E67" s="10" t="n"/>
      <c r="F67" s="4" t="n"/>
    </row>
    <row r="68">
      <c r="A68" s="16">
        <f>TEXT(ROW()-3,"EV-000")</f>
        <v/>
      </c>
      <c r="B68" s="4" t="n"/>
      <c r="C68" s="4" t="n"/>
      <c r="D68" s="4" t="n"/>
      <c r="E68" s="10" t="n"/>
      <c r="F68" s="4" t="n"/>
    </row>
    <row r="69">
      <c r="A69" s="16">
        <f>TEXT(ROW()-3,"EV-000")</f>
        <v/>
      </c>
      <c r="B69" s="4" t="n"/>
      <c r="C69" s="4" t="n"/>
      <c r="D69" s="4" t="n"/>
      <c r="E69" s="10" t="n"/>
      <c r="F69" s="4" t="n"/>
    </row>
    <row r="70">
      <c r="A70" s="16">
        <f>TEXT(ROW()-3,"EV-000")</f>
        <v/>
      </c>
      <c r="B70" s="4" t="n"/>
      <c r="C70" s="4" t="n"/>
      <c r="D70" s="4" t="n"/>
      <c r="E70" s="10" t="n"/>
      <c r="F70" s="4" t="n"/>
    </row>
    <row r="71">
      <c r="A71" s="16">
        <f>TEXT(ROW()-3,"EV-000")</f>
        <v/>
      </c>
      <c r="B71" s="4" t="n"/>
      <c r="C71" s="4" t="n"/>
      <c r="D71" s="4" t="n"/>
      <c r="E71" s="10" t="n"/>
      <c r="F71" s="4" t="n"/>
    </row>
    <row r="72">
      <c r="A72" s="16">
        <f>TEXT(ROW()-3,"EV-000")</f>
        <v/>
      </c>
      <c r="B72" s="4" t="n"/>
      <c r="C72" s="4" t="n"/>
      <c r="D72" s="4" t="n"/>
      <c r="E72" s="10" t="n"/>
      <c r="F72" s="4" t="n"/>
    </row>
    <row r="73">
      <c r="A73" s="16">
        <f>TEXT(ROW()-3,"EV-000")</f>
        <v/>
      </c>
      <c r="B73" s="4" t="n"/>
      <c r="C73" s="4" t="n"/>
      <c r="D73" s="4" t="n"/>
      <c r="E73" s="10" t="n"/>
      <c r="F73" s="4" t="n"/>
    </row>
    <row r="74">
      <c r="A74" s="16">
        <f>TEXT(ROW()-3,"EV-000")</f>
        <v/>
      </c>
      <c r="B74" s="4" t="n"/>
      <c r="C74" s="4" t="n"/>
      <c r="D74" s="4" t="n"/>
      <c r="E74" s="10" t="n"/>
      <c r="F74" s="4" t="n"/>
    </row>
    <row r="75">
      <c r="A75" s="16">
        <f>TEXT(ROW()-3,"EV-000")</f>
        <v/>
      </c>
      <c r="B75" s="4" t="n"/>
      <c r="C75" s="4" t="n"/>
      <c r="D75" s="4" t="n"/>
      <c r="E75" s="10" t="n"/>
      <c r="F75" s="4" t="n"/>
    </row>
    <row r="76">
      <c r="A76" s="16">
        <f>TEXT(ROW()-3,"EV-000")</f>
        <v/>
      </c>
      <c r="B76" s="4" t="n"/>
      <c r="C76" s="4" t="n"/>
      <c r="D76" s="4" t="n"/>
      <c r="E76" s="10" t="n"/>
      <c r="F76" s="4" t="n"/>
    </row>
    <row r="77">
      <c r="A77" s="16">
        <f>TEXT(ROW()-3,"EV-000")</f>
        <v/>
      </c>
      <c r="B77" s="4" t="n"/>
      <c r="C77" s="4" t="n"/>
      <c r="D77" s="4" t="n"/>
      <c r="E77" s="10" t="n"/>
      <c r="F77" s="4" t="n"/>
    </row>
    <row r="78">
      <c r="A78" s="16">
        <f>TEXT(ROW()-3,"EV-000")</f>
        <v/>
      </c>
      <c r="B78" s="4" t="n"/>
      <c r="C78" s="4" t="n"/>
      <c r="D78" s="4" t="n"/>
      <c r="E78" s="10" t="n"/>
      <c r="F78" s="4" t="n"/>
    </row>
    <row r="79">
      <c r="A79" s="16">
        <f>TEXT(ROW()-3,"EV-000")</f>
        <v/>
      </c>
      <c r="B79" s="4" t="n"/>
      <c r="C79" s="4" t="n"/>
      <c r="D79" s="4" t="n"/>
      <c r="E79" s="10" t="n"/>
      <c r="F79" s="4" t="n"/>
    </row>
    <row r="80">
      <c r="A80" s="16">
        <f>TEXT(ROW()-3,"EV-000")</f>
        <v/>
      </c>
      <c r="B80" s="4" t="n"/>
      <c r="C80" s="4" t="n"/>
      <c r="D80" s="4" t="n"/>
      <c r="E80" s="10" t="n"/>
      <c r="F80" s="4" t="n"/>
    </row>
    <row r="81">
      <c r="A81" s="16">
        <f>TEXT(ROW()-3,"EV-000")</f>
        <v/>
      </c>
      <c r="B81" s="4" t="n"/>
      <c r="C81" s="4" t="n"/>
      <c r="D81" s="4" t="n"/>
      <c r="E81" s="10" t="n"/>
      <c r="F81" s="4" t="n"/>
    </row>
    <row r="82">
      <c r="A82" s="16">
        <f>TEXT(ROW()-3,"EV-000")</f>
        <v/>
      </c>
      <c r="B82" s="4" t="n"/>
      <c r="C82" s="4" t="n"/>
      <c r="D82" s="4" t="n"/>
      <c r="E82" s="10" t="n"/>
      <c r="F82" s="4" t="n"/>
    </row>
    <row r="83">
      <c r="A83" s="16">
        <f>TEXT(ROW()-3,"EV-000")</f>
        <v/>
      </c>
      <c r="B83" s="4" t="n"/>
      <c r="C83" s="4" t="n"/>
      <c r="D83" s="4" t="n"/>
      <c r="E83" s="10" t="n"/>
      <c r="F83" s="4" t="n"/>
    </row>
    <row r="84">
      <c r="A84" s="16">
        <f>TEXT(ROW()-3,"EV-000")</f>
        <v/>
      </c>
      <c r="B84" s="4" t="n"/>
      <c r="C84" s="4" t="n"/>
      <c r="D84" s="4" t="n"/>
      <c r="E84" s="10" t="n"/>
      <c r="F84" s="4" t="n"/>
    </row>
    <row r="85">
      <c r="A85" s="16">
        <f>TEXT(ROW()-3,"EV-000")</f>
        <v/>
      </c>
      <c r="B85" s="4" t="n"/>
      <c r="C85" s="4" t="n"/>
      <c r="D85" s="4" t="n"/>
      <c r="E85" s="10" t="n"/>
      <c r="F85" s="4" t="n"/>
    </row>
    <row r="86">
      <c r="A86" s="16">
        <f>TEXT(ROW()-3,"EV-000")</f>
        <v/>
      </c>
      <c r="B86" s="4" t="n"/>
      <c r="C86" s="4" t="n"/>
      <c r="D86" s="4" t="n"/>
      <c r="E86" s="10" t="n"/>
      <c r="F86" s="4" t="n"/>
    </row>
    <row r="87">
      <c r="A87" s="16">
        <f>TEXT(ROW()-3,"EV-000")</f>
        <v/>
      </c>
      <c r="B87" s="4" t="n"/>
      <c r="C87" s="4" t="n"/>
      <c r="D87" s="4" t="n"/>
      <c r="E87" s="10" t="n"/>
      <c r="F87" s="4" t="n"/>
    </row>
    <row r="88">
      <c r="A88" s="16">
        <f>TEXT(ROW()-3,"EV-000")</f>
        <v/>
      </c>
      <c r="B88" s="4" t="n"/>
      <c r="C88" s="4" t="n"/>
      <c r="D88" s="4" t="n"/>
      <c r="E88" s="10" t="n"/>
      <c r="F88" s="4" t="n"/>
    </row>
    <row r="89">
      <c r="A89" s="16">
        <f>TEXT(ROW()-3,"EV-000")</f>
        <v/>
      </c>
      <c r="B89" s="4" t="n"/>
      <c r="C89" s="4" t="n"/>
      <c r="D89" s="4" t="n"/>
      <c r="E89" s="10" t="n"/>
      <c r="F89" s="4" t="n"/>
    </row>
    <row r="90">
      <c r="A90" s="16">
        <f>TEXT(ROW()-3,"EV-000")</f>
        <v/>
      </c>
      <c r="B90" s="4" t="n"/>
      <c r="C90" s="4" t="n"/>
      <c r="D90" s="4" t="n"/>
      <c r="E90" s="10" t="n"/>
      <c r="F90" s="4" t="n"/>
    </row>
    <row r="91">
      <c r="A91" s="16">
        <f>TEXT(ROW()-3,"EV-000")</f>
        <v/>
      </c>
      <c r="B91" s="4" t="n"/>
      <c r="C91" s="4" t="n"/>
      <c r="D91" s="4" t="n"/>
      <c r="E91" s="10" t="n"/>
      <c r="F91" s="4" t="n"/>
    </row>
    <row r="92">
      <c r="A92" s="16">
        <f>TEXT(ROW()-3,"EV-000")</f>
        <v/>
      </c>
      <c r="B92" s="4" t="n"/>
      <c r="C92" s="4" t="n"/>
      <c r="D92" s="4" t="n"/>
      <c r="E92" s="10" t="n"/>
      <c r="F92" s="4" t="n"/>
    </row>
    <row r="93">
      <c r="A93" s="16">
        <f>TEXT(ROW()-3,"EV-000")</f>
        <v/>
      </c>
      <c r="B93" s="4" t="n"/>
      <c r="C93" s="4" t="n"/>
      <c r="D93" s="4" t="n"/>
      <c r="E93" s="10" t="n"/>
      <c r="F93" s="4" t="n"/>
    </row>
    <row r="94">
      <c r="A94" s="16">
        <f>TEXT(ROW()-3,"EV-000")</f>
        <v/>
      </c>
      <c r="B94" s="4" t="n"/>
      <c r="C94" s="4" t="n"/>
      <c r="D94" s="4" t="n"/>
      <c r="E94" s="10" t="n"/>
      <c r="F94" s="4" t="n"/>
    </row>
    <row r="95">
      <c r="A95" s="16">
        <f>TEXT(ROW()-3,"EV-000")</f>
        <v/>
      </c>
      <c r="B95" s="4" t="n"/>
      <c r="C95" s="4" t="n"/>
      <c r="D95" s="4" t="n"/>
      <c r="E95" s="10" t="n"/>
      <c r="F95" s="4" t="n"/>
    </row>
    <row r="96">
      <c r="A96" s="16">
        <f>TEXT(ROW()-3,"EV-000")</f>
        <v/>
      </c>
      <c r="B96" s="4" t="n"/>
      <c r="C96" s="4" t="n"/>
      <c r="D96" s="4" t="n"/>
      <c r="E96" s="10" t="n"/>
      <c r="F96" s="4" t="n"/>
    </row>
    <row r="97">
      <c r="A97" s="16">
        <f>TEXT(ROW()-3,"EV-000")</f>
        <v/>
      </c>
      <c r="B97" s="4" t="n"/>
      <c r="C97" s="4" t="n"/>
      <c r="D97" s="4" t="n"/>
      <c r="E97" s="10" t="n"/>
      <c r="F97" s="4" t="n"/>
    </row>
    <row r="98">
      <c r="A98" s="16">
        <f>TEXT(ROW()-3,"EV-000")</f>
        <v/>
      </c>
      <c r="B98" s="4" t="n"/>
      <c r="C98" s="4" t="n"/>
      <c r="D98" s="4" t="n"/>
      <c r="E98" s="10" t="n"/>
      <c r="F98" s="4" t="n"/>
    </row>
    <row r="99">
      <c r="A99" s="16">
        <f>TEXT(ROW()-3,"EV-000")</f>
        <v/>
      </c>
      <c r="B99" s="4" t="n"/>
      <c r="C99" s="4" t="n"/>
      <c r="D99" s="4" t="n"/>
      <c r="E99" s="10" t="n"/>
      <c r="F99" s="4" t="n"/>
    </row>
    <row r="100">
      <c r="A100" s="16">
        <f>TEXT(ROW()-3,"EV-000")</f>
        <v/>
      </c>
      <c r="B100" s="4" t="n"/>
      <c r="C100" s="4" t="n"/>
      <c r="D100" s="4" t="n"/>
      <c r="E100" s="10" t="n"/>
      <c r="F100" s="4" t="n"/>
    </row>
    <row r="101">
      <c r="A101" s="16">
        <f>TEXT(ROW()-3,"EV-000")</f>
        <v/>
      </c>
      <c r="B101" s="4" t="n"/>
      <c r="C101" s="4" t="n"/>
      <c r="D101" s="4" t="n"/>
      <c r="E101" s="10" t="n"/>
      <c r="F101" s="4" t="n"/>
    </row>
    <row r="102">
      <c r="A102" s="16">
        <f>TEXT(ROW()-3,"EV-000")</f>
        <v/>
      </c>
      <c r="B102" s="4" t="n"/>
      <c r="C102" s="4" t="n"/>
      <c r="D102" s="4" t="n"/>
      <c r="E102" s="10" t="n"/>
      <c r="F102" s="4" t="n"/>
    </row>
    <row r="103">
      <c r="A103" s="16">
        <f>TEXT(ROW()-3,"EV-000")</f>
        <v/>
      </c>
      <c r="B103" s="4" t="n"/>
      <c r="C103" s="4" t="n"/>
      <c r="D103" s="4" t="n"/>
      <c r="E103" s="10" t="n"/>
      <c r="F103" s="4" t="n"/>
    </row>
  </sheetData>
  <mergeCells count="1">
    <mergeCell ref="A1:F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"Classification,Initiation,Planning,Execution,Monitoring,Closure"</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"Collected,Verified,Pending,Missing"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 width="20" customWidth="1" min="5" max="5"/>
  </cols>
  <sheetData>
    <row r="1" ht="35" customHeight="1">
      <c r="A1" s="1" t="inlineStr">
        <is>
          <t>SIGN-OFF &amp; APPROVAL\nMulti-Stakeholder Approval Workflow</t>
        </is>
      </c>
    </row>
    <row r="3">
      <c r="A3" s="2" t="inlineStr">
        <is>
          <t>ASSESSMENT SUMMARY</t>
        </is>
      </c>
    </row>
    <row r="5">
      <c r="A5" s="3" t="inlineStr">
        <is>
          <t>Project Name:</t>
        </is>
      </c>
      <c r="B5">
        <f>'2. Project Classification'!B3</f>
        <v/>
      </c>
    </row>
    <row r="6">
      <c r="A6" s="3" t="inlineStr">
        <is>
          <t>Overall Compliance:</t>
        </is>
      </c>
      <c r="B6" s="17">
        <f>'8. Compliance Dashboard'!B15</f>
        <v/>
      </c>
    </row>
    <row r="8">
      <c r="A8" s="2" t="inlineStr">
        <is>
          <t>APPROVALS</t>
        </is>
      </c>
    </row>
    <row r="9">
      <c r="A9" s="13" t="inlineStr">
        <is>
          <t>Role</t>
        </is>
      </c>
      <c r="B9" s="13" t="inlineStr">
        <is>
          <t>Name</t>
        </is>
      </c>
      <c r="C9" s="13" t="inlineStr">
        <is>
          <t>Signature</t>
        </is>
      </c>
      <c r="D9" s="13" t="inlineStr">
        <is>
          <t>Date</t>
        </is>
      </c>
      <c r="E9" s="13" t="inlineStr">
        <is>
          <t>Decision</t>
        </is>
      </c>
    </row>
    <row r="10">
      <c r="A10" s="3" t="inlineStr">
        <is>
          <t>Project Manager</t>
        </is>
      </c>
      <c r="B10" s="4" t="n"/>
      <c r="C10" s="4" t="n"/>
      <c r="D10" s="10" t="n"/>
      <c r="E10" s="4" t="n"/>
    </row>
    <row r="11">
      <c r="A11" s="3" t="inlineStr">
        <is>
          <t>Security Team</t>
        </is>
      </c>
      <c r="B11" s="4" t="n"/>
      <c r="C11" s="4" t="n"/>
      <c r="D11" s="10" t="n"/>
      <c r="E11" s="4" t="n"/>
    </row>
    <row r="12">
      <c r="A12" s="3" t="inlineStr">
        <is>
          <t>Final Approver</t>
        </is>
      </c>
      <c r="B12" s="4" t="n"/>
      <c r="C12" s="4" t="n"/>
      <c r="D12" s="10" t="n"/>
      <c r="E12" s="4" t="n"/>
    </row>
  </sheetData>
  <mergeCells count="1">
    <mergeCell ref="A1:E1"/>
  </mergeCells>
  <dataValidations count="1">
    <dataValidation sqref="E10 E11 E12" showDropDown="0" showInputMessage="0" showErrorMessage="0" allowBlank="0" type="list">
      <formula1>"✅ Approved,⚠️ Conditional,❌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2026-01-31T02:16:15Z</dcterms:created>
  <dcterms:modified xmlns:dcterms="http://purl.org/dc/terms/" xmlns:xsi="http://www.w3.org/2001/XMLSchema-instance" xsi:type="dcterms:W3CDTF">2026-01-31T02:16:15Z</dcterms:modified>
</cp:coreProperties>
</file>