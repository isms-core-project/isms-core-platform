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z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&amp;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i val="1"/>
      <sz val="10"/>
    </font>
    <font>
      <b val="1"/>
      <sz val="11"/>
    </font>
    <font>
      <b val="1"/>
    </font>
    <font>
      <i val="1"/>
      <sz val="9"/>
    </font>
    <font>
      <i val="1"/>
      <color rgb="00666666"/>
      <sz val="9"/>
    </font>
    <font>
      <sz val="9"/>
    </font>
    <font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5" fillId="5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Compliance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Dashboard'!$A$6:$A$8</f>
            </numRef>
          </cat>
          <val>
            <numRef>
              <f>'Summary Dashboard'!$B$6:$B$8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 Type Coverage %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ISMS-IMP-A.8.15.1</t>
        </is>
      </c>
    </row>
    <row r="5">
      <c r="A5" s="2" t="inlineStr">
        <is>
          <t>Assessment Area:</t>
        </is>
      </c>
      <c r="B5" s="3" t="inlineStr">
        <is>
          <t>Log Source Inventory and Completeness</t>
        </is>
      </c>
    </row>
    <row r="6">
      <c r="A6" s="2" t="inlineStr">
        <is>
          <t>Related Policy:</t>
        </is>
      </c>
      <c r="B6" s="3" t="inlineStr">
        <is>
          <t>ISMS-POL-A.8.15-S2.1 (Event Logging Requirements)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Annual (full assessment), Quarterly (updates)</t>
        </is>
      </c>
    </row>
    <row r="14">
      <c r="A14" s="6" t="inlineStr">
        <is>
          <t>HOW TO USE THIS WORKBOOK</t>
        </is>
      </c>
    </row>
    <row r="15">
      <c r="A15" s="7" t="inlineStr">
        <is>
          <t>1. Complete the 'System Inventory' sheet for all in-scope systems</t>
        </is>
      </c>
    </row>
    <row r="16">
      <c r="A16" s="7" t="inlineStr">
        <is>
          <t>2. For each system, document log sources and event types logged</t>
        </is>
      </c>
    </row>
    <row r="17">
      <c r="A17" s="7" t="inlineStr">
        <is>
          <t>3. Use dropdowns to ensure consistent data entry</t>
        </is>
      </c>
    </row>
    <row r="18">
      <c r="A18" s="7" t="inlineStr">
        <is>
          <t>4. Yellow cells require user input, gray cells are auto-calculated</t>
        </is>
      </c>
    </row>
    <row r="19">
      <c r="A19" s="7" t="inlineStr">
        <is>
          <t>5. Complete compliance checklist for each log source type</t>
        </is>
      </c>
    </row>
    <row r="20">
      <c r="A20" s="7" t="inlineStr">
        <is>
          <t>6. Review Summary Dashboard for overall compliance status</t>
        </is>
      </c>
    </row>
    <row r="21">
      <c r="A21" s="7" t="inlineStr">
        <is>
          <t>7. Document gaps in Gap Analysis sheet</t>
        </is>
      </c>
    </row>
    <row r="22">
      <c r="A22" s="7" t="inlineStr">
        <is>
          <t>8. Develop remediation plan for identified gaps</t>
        </is>
      </c>
    </row>
    <row r="23">
      <c r="A23" s="7" t="inlineStr">
        <is>
          <t>9. Obtain approvals in Approval &amp; Sign-Off sheet</t>
        </is>
      </c>
    </row>
    <row r="26">
      <c r="A26" s="6" t="inlineStr">
        <is>
          <t>LEGEND - CELL COLOR CODING</t>
        </is>
      </c>
    </row>
    <row r="27">
      <c r="A27" s="8" t="inlineStr">
        <is>
          <t>Yellow (FFFFCC)</t>
        </is>
      </c>
      <c r="B27" s="9" t="inlineStr">
        <is>
          <t>User input required</t>
        </is>
      </c>
    </row>
    <row r="28">
      <c r="A28" s="10" t="inlineStr">
        <is>
          <t>Green (C6EFCE)</t>
        </is>
      </c>
      <c r="B28" s="9" t="inlineStr">
        <is>
          <t>Compliant / Complete</t>
        </is>
      </c>
    </row>
    <row r="29">
      <c r="A29" s="11" t="inlineStr">
        <is>
          <t>Red (FFC7CE)</t>
        </is>
      </c>
      <c r="B29" s="9" t="inlineStr">
        <is>
          <t>Non-compliant / Missing</t>
        </is>
      </c>
    </row>
    <row r="30">
      <c r="A30" s="12" t="inlineStr">
        <is>
          <t>Gray (E7E6E6)</t>
        </is>
      </c>
      <c r="B30" s="9" t="inlineStr">
        <is>
          <t>Auto-calculated / Reference data</t>
        </is>
      </c>
    </row>
    <row r="31">
      <c r="A31" s="13" t="inlineStr">
        <is>
          <t>Blue (4472C4)</t>
        </is>
      </c>
      <c r="B31" s="9" t="inlineStr">
        <is>
          <t>Instructions / Headers</t>
        </is>
      </c>
    </row>
    <row r="34">
      <c r="A34" s="6" t="inlineStr">
        <is>
          <t>KEY DEFINITIONS</t>
        </is>
      </c>
    </row>
    <row r="35">
      <c r="A35" s="2" t="inlineStr">
        <is>
          <t>Log Source</t>
        </is>
      </c>
      <c r="B35" s="7" t="inlineStr">
        <is>
          <t>Any system, application, or device generating event logs</t>
        </is>
      </c>
    </row>
    <row r="36">
      <c r="A36" s="2" t="inlineStr">
        <is>
          <t>Event Type</t>
        </is>
      </c>
      <c r="B36" s="7" t="inlineStr">
        <is>
          <t>Category of logged activity (authentication, authorization, etc.)</t>
        </is>
      </c>
    </row>
    <row r="37">
      <c r="A37" s="2" t="inlineStr">
        <is>
          <t>SIEM</t>
        </is>
      </c>
      <c r="B37" s="7" t="inlineStr">
        <is>
          <t>Security Information and Event Management system</t>
        </is>
      </c>
    </row>
    <row r="38">
      <c r="A38" s="2" t="inlineStr">
        <is>
          <t>Hot Storage</t>
        </is>
      </c>
      <c r="B38" s="7" t="inlineStr">
        <is>
          <t>Real-time searchable log storage (0-90 days typical)</t>
        </is>
      </c>
    </row>
    <row r="39">
      <c r="A39" s="2" t="inlineStr">
        <is>
          <t>Warm Storage</t>
        </is>
      </c>
      <c r="B39" s="7" t="inlineStr">
        <is>
          <t>Compressed, slower-access storage (91-365 days typical)</t>
        </is>
      </c>
    </row>
    <row r="40">
      <c r="A40" s="2" t="inlineStr">
        <is>
          <t>Cold Storage</t>
        </is>
      </c>
      <c r="B40" s="7" t="inlineStr">
        <is>
          <t>Archive storage (&gt;1 year)</t>
        </is>
      </c>
    </row>
    <row r="41">
      <c r="A41" s="2" t="inlineStr">
        <is>
          <t>WORM</t>
        </is>
      </c>
      <c r="B41" s="7" t="inlineStr">
        <is>
          <t>Write-Once-Read-Many (immutable storage)</t>
        </is>
      </c>
    </row>
    <row r="42">
      <c r="A42" s="2" t="inlineStr">
        <is>
          <t>Syslog</t>
        </is>
      </c>
      <c r="B42" s="7" t="inlineStr">
        <is>
          <t>Standard logging protocol (RFC 5424)</t>
        </is>
      </c>
    </row>
    <row r="43">
      <c r="A43" s="2" t="inlineStr">
        <is>
          <t>CEF</t>
        </is>
      </c>
      <c r="B43" s="7" t="inlineStr">
        <is>
          <t>Common Event Format</t>
        </is>
      </c>
    </row>
    <row r="44">
      <c r="A44" s="2" t="inlineStr">
        <is>
          <t>EVTX</t>
        </is>
      </c>
      <c r="B44" s="7" t="inlineStr">
        <is>
          <t>Windows Event Log format</t>
        </is>
      </c>
    </row>
  </sheetData>
  <mergeCells count="4">
    <mergeCell ref="A26:F26"/>
    <mergeCell ref="A14:F14"/>
    <mergeCell ref="A1:F1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40" customHeight="1">
      <c r="A1" s="1" t="inlineStr">
        <is>
          <t>SYSTEM INVENTORY - Log Source Catalog</t>
        </is>
      </c>
    </row>
    <row r="2" ht="30" customHeight="1">
      <c r="A2" s="6" t="inlineStr">
        <is>
          <t>Document all systems in scope for logging. Include servers, network devices, applications, cloud services, and security tools.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System Type</t>
        </is>
      </c>
      <c r="D7" s="14" t="inlineStr">
        <is>
          <t>Operating System / Platform</t>
        </is>
      </c>
      <c r="E7" s="14" t="inlineStr">
        <is>
          <t>Environment</t>
        </is>
      </c>
      <c r="F7" s="14" t="inlineStr">
        <is>
          <t>Data Classification</t>
        </is>
      </c>
      <c r="G7" s="14" t="inlineStr">
        <is>
          <t>Business Criticality</t>
        </is>
      </c>
      <c r="H7" s="14" t="inlineStr">
        <is>
          <t>Regulatory Scope</t>
        </is>
      </c>
      <c r="I7" s="14" t="inlineStr">
        <is>
          <t>Logging Priority</t>
        </is>
      </c>
      <c r="J7" s="14" t="inlineStr">
        <is>
          <t>System Owner</t>
        </is>
      </c>
      <c r="K7" s="14" t="inlineStr">
        <is>
          <t>Owner Email</t>
        </is>
      </c>
      <c r="L7" s="14" t="inlineStr">
        <is>
          <t>Hostname / FQDN</t>
        </is>
      </c>
      <c r="M7" s="14" t="inlineStr">
        <is>
          <t>Primary IP</t>
        </is>
      </c>
      <c r="N7" s="14" t="inlineStr">
        <is>
          <t>Location</t>
        </is>
      </c>
      <c r="O7" s="14" t="inlineStr">
        <is>
          <t>Logging Enabled</t>
        </is>
      </c>
      <c r="P7" s="14" t="inlineStr">
        <is>
          <t>Forwarding to SIEM</t>
        </is>
      </c>
      <c r="Q7" s="14" t="inlineStr">
        <is>
          <t>Compliance Status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Server</t>
        </is>
      </c>
      <c r="D8" s="15" t="inlineStr">
        <is>
          <t>Linux</t>
        </is>
      </c>
      <c r="E8" s="15" t="inlineStr">
        <is>
          <t>Production</t>
        </is>
      </c>
      <c r="F8" s="15" t="inlineStr">
        <is>
          <t>Confidential</t>
        </is>
      </c>
      <c r="G8" s="15" t="inlineStr">
        <is>
          <t>Critical (T1)</t>
        </is>
      </c>
      <c r="H8" s="15" t="inlineStr">
        <is>
          <t>PCI DSS, GDPR</t>
        </is>
      </c>
      <c r="I8" s="15" t="inlineStr">
        <is>
          <t>P1-Critical</t>
        </is>
      </c>
      <c r="J8" s="15" t="inlineStr">
        <is>
          <t>John Doe</t>
        </is>
      </c>
      <c r="K8" s="15" t="inlineStr">
        <is>
          <t>jdoe@example.com</t>
        </is>
      </c>
      <c r="L8" s="15" t="inlineStr">
        <is>
          <t>web-prod-01.example.com</t>
        </is>
      </c>
      <c r="M8" s="15" t="inlineStr">
        <is>
          <t>10.0.1.50</t>
        </is>
      </c>
      <c r="N8" s="15" t="inlineStr">
        <is>
          <t>DC1</t>
        </is>
      </c>
      <c r="O8" s="15" t="inlineStr">
        <is>
          <t>Yes</t>
        </is>
      </c>
      <c r="P8" s="15" t="inlineStr">
        <is>
          <t>Yes</t>
        </is>
      </c>
      <c r="Q8" s="15" t="inlineStr">
        <is>
          <t>Compliant</t>
        </is>
      </c>
    </row>
    <row r="9">
      <c r="A9" s="16">
        <f>IF(B9&lt;&gt;"","SYS-"&amp;TEXT(ROW()-8,"000"),"")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16">
        <f>IF(B9="","",IF(AND(O9="Yes",P9="Yes"),"Compliant",IF(OR(O9="Partial",P9="Planned"),"Partial","Non-Compliant")))</f>
        <v/>
      </c>
    </row>
    <row r="10">
      <c r="A10" s="16">
        <f>IF(B10&lt;&gt;"","SYS-"&amp;TEXT(ROW()-8,"000"),"")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16">
        <f>IF(B10="","",IF(AND(O10="Yes",P10="Yes"),"Compliant",IF(OR(O10="Partial",P10="Planned"),"Partial","Non-Compliant")))</f>
        <v/>
      </c>
    </row>
    <row r="11">
      <c r="A11" s="16">
        <f>IF(B11&lt;&gt;"","SYS-"&amp;TEXT(ROW()-8,"000"),"")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16">
        <f>IF(B11="","",IF(AND(O11="Yes",P11="Yes"),"Compliant",IF(OR(O11="Partial",P11="Planned"),"Partial","Non-Compliant")))</f>
        <v/>
      </c>
    </row>
    <row r="12">
      <c r="A12" s="16">
        <f>IF(B12&lt;&gt;"","SYS-"&amp;TEXT(ROW()-8,"000"),"")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16">
        <f>IF(B12="","",IF(AND(O12="Yes",P12="Yes"),"Compliant",IF(OR(O12="Partial",P12="Planned"),"Partial","Non-Compliant")))</f>
        <v/>
      </c>
    </row>
    <row r="13">
      <c r="A13" s="16">
        <f>IF(B13&lt;&gt;"","SYS-"&amp;TEXT(ROW()-8,"000"),"")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16">
        <f>IF(B13="","",IF(AND(O13="Yes",P13="Yes"),"Compliant",IF(OR(O13="Partial",P13="Planned"),"Partial","Non-Compliant")))</f>
        <v/>
      </c>
    </row>
    <row r="14">
      <c r="A14" s="16">
        <f>IF(B14&lt;&gt;"","SYS-"&amp;TEXT(ROW()-8,"000"),"")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16">
        <f>IF(B14="","",IF(AND(O14="Yes",P14="Yes"),"Compliant",IF(OR(O14="Partial",P14="Planned"),"Partial","Non-Compliant")))</f>
        <v/>
      </c>
    </row>
    <row r="15">
      <c r="A15" s="16">
        <f>IF(B15&lt;&gt;"","SYS-"&amp;TEXT(ROW()-8,"000"),"")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16">
        <f>IF(B15="","",IF(AND(O15="Yes",P15="Yes"),"Compliant",IF(OR(O15="Partial",P15="Planned"),"Partial","Non-Compliant")))</f>
        <v/>
      </c>
    </row>
    <row r="16">
      <c r="A16" s="16">
        <f>IF(B16&lt;&gt;"","SYS-"&amp;TEXT(ROW()-8,"000"),"")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16">
        <f>IF(B16="","",IF(AND(O16="Yes",P16="Yes"),"Compliant",IF(OR(O16="Partial",P16="Planned"),"Partial","Non-Compliant")))</f>
        <v/>
      </c>
    </row>
    <row r="17">
      <c r="A17" s="16">
        <f>IF(B17&lt;&gt;"","SYS-"&amp;TEXT(ROW()-8,"000"),"")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16">
        <f>IF(B17="","",IF(AND(O17="Yes",P17="Yes"),"Compliant",IF(OR(O17="Partial",P17="Planned"),"Partial","Non-Compliant")))</f>
        <v/>
      </c>
    </row>
    <row r="18">
      <c r="A18" s="16">
        <f>IF(B18&lt;&gt;"","SYS-"&amp;TEXT(ROW()-8,"000"),"")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16">
        <f>IF(B18="","",IF(AND(O18="Yes",P18="Yes"),"Compliant",IF(OR(O18="Partial",P18="Planned"),"Partial","Non-Compliant")))</f>
        <v/>
      </c>
    </row>
    <row r="19">
      <c r="A19" s="16">
        <f>IF(B19&lt;&gt;"","SYS-"&amp;TEXT(ROW()-8,"000"),"")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16">
        <f>IF(B19="","",IF(AND(O19="Yes",P19="Yes"),"Compliant",IF(OR(O19="Partial",P19="Planned"),"Partial","Non-Compliant")))</f>
        <v/>
      </c>
    </row>
    <row r="20">
      <c r="A20" s="16">
        <f>IF(B20&lt;&gt;"","SYS-"&amp;TEXT(ROW()-8,"000"),"")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16">
        <f>IF(B20="","",IF(AND(O20="Yes",P20="Yes"),"Compliant",IF(OR(O20="Partial",P20="Planned"),"Partial","Non-Compliant")))</f>
        <v/>
      </c>
    </row>
    <row r="21">
      <c r="A21" s="16">
        <f>IF(B21&lt;&gt;"","SYS-"&amp;TEXT(ROW()-8,"000"),"")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16">
        <f>IF(B21="","",IF(AND(O21="Yes",P21="Yes"),"Compliant",IF(OR(O21="Partial",P21="Planned"),"Partial","Non-Compliant")))</f>
        <v/>
      </c>
    </row>
    <row r="22">
      <c r="A22" s="16">
        <f>IF(B22&lt;&gt;"","SYS-"&amp;TEXT(ROW()-8,"000"),"")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16">
        <f>IF(B22="","",IF(AND(O22="Yes",P22="Yes"),"Compliant",IF(OR(O22="Partial",P22="Planned"),"Partial","Non-Compliant")))</f>
        <v/>
      </c>
    </row>
    <row r="23">
      <c r="A23" s="16">
        <f>IF(B23&lt;&gt;"","SYS-"&amp;TEXT(ROW()-8,"000"),"")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16">
        <f>IF(B23="","",IF(AND(O23="Yes",P23="Yes"),"Compliant",IF(OR(O23="Partial",P23="Planned"),"Partial","Non-Compliant")))</f>
        <v/>
      </c>
    </row>
    <row r="24">
      <c r="A24" s="16">
        <f>IF(B24&lt;&gt;"","SYS-"&amp;TEXT(ROW()-8,"000"),"")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6">
        <f>IF(B24="","",IF(AND(O24="Yes",P24="Yes"),"Compliant",IF(OR(O24="Partial",P24="Planned"),"Partial","Non-Compliant")))</f>
        <v/>
      </c>
    </row>
    <row r="25">
      <c r="A25" s="16">
        <f>IF(B25&lt;&gt;"","SYS-"&amp;TEXT(ROW()-8,"000"),"")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16">
        <f>IF(B25="","",IF(AND(O25="Yes",P25="Yes"),"Compliant",IF(OR(O25="Partial",P25="Planned"),"Partial","Non-Compliant")))</f>
        <v/>
      </c>
    </row>
    <row r="26">
      <c r="A26" s="16">
        <f>IF(B26&lt;&gt;"","SYS-"&amp;TEXT(ROW()-8,"000"),"")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16">
        <f>IF(B26="","",IF(AND(O26="Yes",P26="Yes"),"Compliant",IF(OR(O26="Partial",P26="Planned"),"Partial","Non-Compliant")))</f>
        <v/>
      </c>
    </row>
    <row r="27">
      <c r="A27" s="16">
        <f>IF(B27&lt;&gt;"","SYS-"&amp;TEXT(ROW()-8,"000"),"")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16">
        <f>IF(B27="","",IF(AND(O27="Yes",P27="Yes"),"Compliant",IF(OR(O27="Partial",P27="Planned"),"Partial","Non-Compliant")))</f>
        <v/>
      </c>
    </row>
    <row r="28">
      <c r="A28" s="16">
        <f>IF(B28&lt;&gt;"","SYS-"&amp;TEXT(ROW()-8,"000"),"")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16">
        <f>IF(B28="","",IF(AND(O28="Yes",P28="Yes"),"Compliant",IF(OR(O28="Partial",P28="Planned"),"Partial","Non-Compliant")))</f>
        <v/>
      </c>
    </row>
    <row r="29">
      <c r="A29" s="16">
        <f>IF(B29&lt;&gt;"","SYS-"&amp;TEXT(ROW()-8,"000"),"")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16">
        <f>IF(B29="","",IF(AND(O29="Yes",P29="Yes"),"Compliant",IF(OR(O29="Partial",P29="Planned"),"Partial","Non-Compliant")))</f>
        <v/>
      </c>
    </row>
    <row r="30">
      <c r="A30" s="16">
        <f>IF(B30&lt;&gt;"","SYS-"&amp;TEXT(ROW()-8,"000"),"")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6">
        <f>IF(B30="","",IF(AND(O30="Yes",P30="Yes"),"Compliant",IF(OR(O30="Partial",P30="Planned"),"Partial","Non-Compliant")))</f>
        <v/>
      </c>
    </row>
    <row r="31">
      <c r="A31" s="16">
        <f>IF(B31&lt;&gt;"","SYS-"&amp;TEXT(ROW()-8,"000"),"")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16">
        <f>IF(B31="","",IF(AND(O31="Yes",P31="Yes"),"Compliant",IF(OR(O31="Partial",P31="Planned"),"Partial","Non-Compliant")))</f>
        <v/>
      </c>
    </row>
    <row r="32">
      <c r="A32" s="16">
        <f>IF(B32&lt;&gt;"","SYS-"&amp;TEXT(ROW()-8,"000"),"")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16">
        <f>IF(B32="","",IF(AND(O32="Yes",P32="Yes"),"Compliant",IF(OR(O32="Partial",P32="Planned"),"Partial","Non-Compliant")))</f>
        <v/>
      </c>
    </row>
    <row r="33">
      <c r="A33" s="16">
        <f>IF(B33&lt;&gt;"","SYS-"&amp;TEXT(ROW()-8,"000"),"")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16">
        <f>IF(B33="","",IF(AND(O33="Yes",P33="Yes"),"Compliant",IF(OR(O33="Partial",P33="Planned"),"Partial","Non-Compliant")))</f>
        <v/>
      </c>
    </row>
    <row r="34">
      <c r="A34" s="16">
        <f>IF(B34&lt;&gt;"","SYS-"&amp;TEXT(ROW()-8,"000"),"")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16">
        <f>IF(B34="","",IF(AND(O34="Yes",P34="Yes"),"Compliant",IF(OR(O34="Partial",P34="Planned"),"Partial","Non-Compliant")))</f>
        <v/>
      </c>
    </row>
    <row r="35">
      <c r="A35" s="16">
        <f>IF(B35&lt;&gt;"","SYS-"&amp;TEXT(ROW()-8,"000"),"")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16">
        <f>IF(B35="","",IF(AND(O35="Yes",P35="Yes"),"Compliant",IF(OR(O35="Partial",P35="Planned"),"Partial","Non-Compliant")))</f>
        <v/>
      </c>
    </row>
    <row r="36">
      <c r="A36" s="16">
        <f>IF(B36&lt;&gt;"","SYS-"&amp;TEXT(ROW()-8,"000"),"")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16">
        <f>IF(B36="","",IF(AND(O36="Yes",P36="Yes"),"Compliant",IF(OR(O36="Partial",P36="Planned"),"Partial","Non-Compliant")))</f>
        <v/>
      </c>
    </row>
    <row r="37">
      <c r="A37" s="16">
        <f>IF(B37&lt;&gt;"","SYS-"&amp;TEXT(ROW()-8,"000"),"")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16">
        <f>IF(B37="","",IF(AND(O37="Yes",P37="Yes"),"Compliant",IF(OR(O37="Partial",P37="Planned"),"Partial","Non-Compliant")))</f>
        <v/>
      </c>
    </row>
    <row r="38">
      <c r="A38" s="16">
        <f>IF(B38&lt;&gt;"","SYS-"&amp;TEXT(ROW()-8,"000"),"")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16">
        <f>IF(B38="","",IF(AND(O38="Yes",P38="Yes"),"Compliant",IF(OR(O38="Partial",P38="Planned"),"Partial","Non-Compliant")))</f>
        <v/>
      </c>
    </row>
    <row r="39">
      <c r="A39" s="16">
        <f>IF(B39&lt;&gt;"","SYS-"&amp;TEXT(ROW()-8,"000"),"")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16">
        <f>IF(B39="","",IF(AND(O39="Yes",P39="Yes"),"Compliant",IF(OR(O39="Partial",P39="Planned"),"Partial","Non-Compliant")))</f>
        <v/>
      </c>
    </row>
    <row r="40">
      <c r="A40" s="16">
        <f>IF(B40&lt;&gt;"","SYS-"&amp;TEXT(ROW()-8,"000"),"")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16">
        <f>IF(B40="","",IF(AND(O40="Yes",P40="Yes"),"Compliant",IF(OR(O40="Partial",P40="Planned"),"Partial","Non-Compliant")))</f>
        <v/>
      </c>
    </row>
    <row r="41">
      <c r="A41" s="16">
        <f>IF(B41&lt;&gt;"","SYS-"&amp;TEXT(ROW()-8,"000"),"")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16">
        <f>IF(B41="","",IF(AND(O41="Yes",P41="Yes"),"Compliant",IF(OR(O41="Partial",P41="Planned"),"Partial","Non-Compliant")))</f>
        <v/>
      </c>
    </row>
    <row r="42">
      <c r="A42" s="16">
        <f>IF(B42&lt;&gt;"","SYS-"&amp;TEXT(ROW()-8,"000"),"")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16">
        <f>IF(B42="","",IF(AND(O42="Yes",P42="Yes"),"Compliant",IF(OR(O42="Partial",P42="Planned"),"Partial","Non-Compliant")))</f>
        <v/>
      </c>
    </row>
    <row r="43">
      <c r="A43" s="16">
        <f>IF(B43&lt;&gt;"","SYS-"&amp;TEXT(ROW()-8,"000"),"")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16">
        <f>IF(B43="","",IF(AND(O43="Yes",P43="Yes"),"Compliant",IF(OR(O43="Partial",P43="Planned"),"Partial","Non-Compliant")))</f>
        <v/>
      </c>
    </row>
    <row r="44">
      <c r="A44" s="16">
        <f>IF(B44&lt;&gt;"","SYS-"&amp;TEXT(ROW()-8,"000"),"")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16">
        <f>IF(B44="","",IF(AND(O44="Yes",P44="Yes"),"Compliant",IF(OR(O44="Partial",P44="Planned"),"Partial","Non-Compliant")))</f>
        <v/>
      </c>
    </row>
    <row r="45">
      <c r="A45" s="16">
        <f>IF(B45&lt;&gt;"","SYS-"&amp;TEXT(ROW()-8,"000"),"")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16">
        <f>IF(B45="","",IF(AND(O45="Yes",P45="Yes"),"Compliant",IF(OR(O45="Partial",P45="Planned"),"Partial","Non-Compliant")))</f>
        <v/>
      </c>
    </row>
    <row r="46">
      <c r="A46" s="16">
        <f>IF(B46&lt;&gt;"","SYS-"&amp;TEXT(ROW()-8,"000"),"")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16">
        <f>IF(B46="","",IF(AND(O46="Yes",P46="Yes"),"Compliant",IF(OR(O46="Partial",P46="Planned"),"Partial","Non-Compliant")))</f>
        <v/>
      </c>
    </row>
    <row r="47">
      <c r="A47" s="16">
        <f>IF(B47&lt;&gt;"","SYS-"&amp;TEXT(ROW()-8,"000"),"")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16">
        <f>IF(B47="","",IF(AND(O47="Yes",P47="Yes"),"Compliant",IF(OR(O47="Partial",P47="Planned"),"Partial","Non-Compliant")))</f>
        <v/>
      </c>
    </row>
    <row r="48">
      <c r="A48" s="16">
        <f>IF(B48&lt;&gt;"","SYS-"&amp;TEXT(ROW()-8,"000"),"")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16">
        <f>IF(B48="","",IF(AND(O48="Yes",P48="Yes"),"Compliant",IF(OR(O48="Partial",P48="Planned"),"Partial","Non-Compliant")))</f>
        <v/>
      </c>
    </row>
    <row r="49">
      <c r="A49" s="16">
        <f>IF(B49&lt;&gt;"","SYS-"&amp;TEXT(ROW()-8,"000"),"")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16">
        <f>IF(B49="","",IF(AND(O49="Yes",P49="Yes"),"Compliant",IF(OR(O49="Partial",P49="Planned"),"Partial","Non-Compliant")))</f>
        <v/>
      </c>
    </row>
    <row r="50">
      <c r="A50" s="16">
        <f>IF(B50&lt;&gt;"","SYS-"&amp;TEXT(ROW()-8,"000"),"")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16">
        <f>IF(B50="","",IF(AND(O50="Yes",P50="Yes"),"Compliant",IF(OR(O50="Partial",P50="Planned"),"Partial","Non-Compliant")))</f>
        <v/>
      </c>
    </row>
    <row r="51">
      <c r="A51" s="16">
        <f>IF(B51&lt;&gt;"","SYS-"&amp;TEXT(ROW()-8,"000"),"")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16">
        <f>IF(B51="","",IF(AND(O51="Yes",P51="Yes"),"Compliant",IF(OR(O51="Partial",P51="Planned"),"Partial","Non-Compliant")))</f>
        <v/>
      </c>
    </row>
    <row r="52">
      <c r="A52" s="16">
        <f>IF(B52&lt;&gt;"","SYS-"&amp;TEXT(ROW()-8,"000"),"")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16">
        <f>IF(B52="","",IF(AND(O52="Yes",P52="Yes"),"Compliant",IF(OR(O52="Partial",P52="Planned"),"Partial","Non-Compliant")))</f>
        <v/>
      </c>
    </row>
    <row r="53">
      <c r="A53" s="16">
        <f>IF(B53&lt;&gt;"","SYS-"&amp;TEXT(ROW()-8,"000"),"")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16">
        <f>IF(B53="","",IF(AND(O53="Yes",P53="Yes"),"Compliant",IF(OR(O53="Partial",P53="Planned"),"Partial","Non-Compliant")))</f>
        <v/>
      </c>
    </row>
    <row r="54">
      <c r="A54" s="16">
        <f>IF(B54&lt;&gt;"","SYS-"&amp;TEXT(ROW()-8,"000"),"")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6">
        <f>IF(B54="","",IF(AND(O54="Yes",P54="Yes"),"Compliant",IF(OR(O54="Partial",P54="Planned"),"Partial","Non-Compliant")))</f>
        <v/>
      </c>
    </row>
    <row r="55">
      <c r="A55" s="16">
        <f>IF(B55&lt;&gt;"","SYS-"&amp;TEXT(ROW()-8,"000"),"")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16">
        <f>IF(B55="","",IF(AND(O55="Yes",P55="Yes"),"Compliant",IF(OR(O55="Partial",P55="Planned"),"Partial","Non-Compliant")))</f>
        <v/>
      </c>
    </row>
    <row r="56">
      <c r="A56" s="16">
        <f>IF(B56&lt;&gt;"","SYS-"&amp;TEXT(ROW()-8,"000"),"")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16">
        <f>IF(B56="","",IF(AND(O56="Yes",P56="Yes"),"Compliant",IF(OR(O56="Partial",P56="Planned"),"Partial","Non-Compliant")))</f>
        <v/>
      </c>
    </row>
    <row r="57">
      <c r="A57" s="16">
        <f>IF(B57&lt;&gt;"","SYS-"&amp;TEXT(ROW()-8,"000"),"")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16">
        <f>IF(B57="","",IF(AND(O57="Yes",P57="Yes"),"Compliant",IF(OR(O57="Partial",P57="Planned"),"Partial","Non-Compliant")))</f>
        <v/>
      </c>
    </row>
    <row r="58">
      <c r="A58" s="16">
        <f>IF(B58&lt;&gt;"","SYS-"&amp;TEXT(ROW()-8,"000"),"")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16">
        <f>IF(B58="","",IF(AND(O58="Yes",P58="Yes"),"Compliant",IF(OR(O58="Partial",P58="Planned"),"Partial","Non-Compliant")))</f>
        <v/>
      </c>
    </row>
    <row r="59">
      <c r="A59" s="16">
        <f>IF(B59&lt;&gt;"","SYS-"&amp;TEXT(ROW()-8,"000"),"")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6">
        <f>IF(B59="","",IF(AND(O59="Yes",P59="Yes"),"Compliant",IF(OR(O59="Partial",P59="Planned"),"Partial","Non-Compliant")))</f>
        <v/>
      </c>
    </row>
    <row r="60">
      <c r="A60" s="16">
        <f>IF(B60&lt;&gt;"","SYS-"&amp;TEXT(ROW()-8,"000"),"")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16">
        <f>IF(B60="","",IF(AND(O60="Yes",P60="Yes"),"Compliant",IF(OR(O60="Partial",P60="Planned"),"Partial","Non-Compliant")))</f>
        <v/>
      </c>
    </row>
    <row r="61">
      <c r="A61" s="16">
        <f>IF(B61&lt;&gt;"","SYS-"&amp;TEXT(ROW()-8,"000"),"")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16">
        <f>IF(B61="","",IF(AND(O61="Yes",P61="Yes"),"Compliant",IF(OR(O61="Partial",P61="Planned"),"Partial","Non-Compliant")))</f>
        <v/>
      </c>
    </row>
    <row r="62">
      <c r="A62" s="16">
        <f>IF(B62&lt;&gt;"","SYS-"&amp;TEXT(ROW()-8,"000"),"")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16">
        <f>IF(B62="","",IF(AND(O62="Yes",P62="Yes"),"Compliant",IF(OR(O62="Partial",P62="Planned"),"Partial","Non-Compliant")))</f>
        <v/>
      </c>
    </row>
    <row r="63">
      <c r="A63" s="16">
        <f>IF(B63&lt;&gt;"","SYS-"&amp;TEXT(ROW()-8,"000"),"")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16">
        <f>IF(B63="","",IF(AND(O63="Yes",P63="Yes"),"Compliant",IF(OR(O63="Partial",P63="Planned"),"Partial","Non-Compliant")))</f>
        <v/>
      </c>
    </row>
    <row r="64">
      <c r="A64" s="16">
        <f>IF(B64&lt;&gt;"","SYS-"&amp;TEXT(ROW()-8,"000"),"")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16">
        <f>IF(B64="","",IF(AND(O64="Yes",P64="Yes"),"Compliant",IF(OR(O64="Partial",P64="Planned"),"Partial","Non-Compliant")))</f>
        <v/>
      </c>
    </row>
    <row r="65">
      <c r="A65" s="16">
        <f>IF(B65&lt;&gt;"","SYS-"&amp;TEXT(ROW()-8,"000"),"")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16">
        <f>IF(B65="","",IF(AND(O65="Yes",P65="Yes"),"Compliant",IF(OR(O65="Partial",P65="Planned"),"Partial","Non-Compliant")))</f>
        <v/>
      </c>
    </row>
    <row r="66">
      <c r="A66" s="16">
        <f>IF(B66&lt;&gt;"","SYS-"&amp;TEXT(ROW()-8,"000"),"")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16">
        <f>IF(B66="","",IF(AND(O66="Yes",P66="Yes"),"Compliant",IF(OR(O66="Partial",P66="Planned"),"Partial","Non-Compliant")))</f>
        <v/>
      </c>
    </row>
    <row r="67">
      <c r="A67" s="16">
        <f>IF(B67&lt;&gt;"","SYS-"&amp;TEXT(ROW()-8,"000"),"")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16">
        <f>IF(B67="","",IF(AND(O67="Yes",P67="Yes"),"Compliant",IF(OR(O67="Partial",P67="Planned"),"Partial","Non-Compliant")))</f>
        <v/>
      </c>
    </row>
    <row r="68">
      <c r="A68" s="16">
        <f>IF(B68&lt;&gt;"","SYS-"&amp;TEXT(ROW()-8,"000"),"")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16">
        <f>IF(B68="","",IF(AND(O68="Yes",P68="Yes"),"Compliant",IF(OR(O68="Partial",P68="Planned"),"Partial","Non-Compliant")))</f>
        <v/>
      </c>
    </row>
    <row r="69">
      <c r="A69" s="16">
        <f>IF(B69&lt;&gt;"","SYS-"&amp;TEXT(ROW()-8,"000"),"")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16">
        <f>IF(B69="","",IF(AND(O69="Yes",P69="Yes"),"Compliant",IF(OR(O69="Partial",P69="Planned"),"Partial","Non-Compliant")))</f>
        <v/>
      </c>
    </row>
    <row r="70">
      <c r="A70" s="16">
        <f>IF(B70&lt;&gt;"","SYS-"&amp;TEXT(ROW()-8,"000"),"")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16">
        <f>IF(B70="","",IF(AND(O70="Yes",P70="Yes"),"Compliant",IF(OR(O70="Partial",P70="Planned"),"Partial","Non-Compliant")))</f>
        <v/>
      </c>
    </row>
    <row r="71">
      <c r="A71" s="16">
        <f>IF(B71&lt;&gt;"","SYS-"&amp;TEXT(ROW()-8,"000"),"")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16">
        <f>IF(B71="","",IF(AND(O71="Yes",P71="Yes"),"Compliant",IF(OR(O71="Partial",P71="Planned"),"Partial","Non-Compliant")))</f>
        <v/>
      </c>
    </row>
    <row r="72">
      <c r="A72" s="16">
        <f>IF(B72&lt;&gt;"","SYS-"&amp;TEXT(ROW()-8,"000"),"")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16">
        <f>IF(B72="","",IF(AND(O72="Yes",P72="Yes"),"Compliant",IF(OR(O72="Partial",P72="Planned"),"Partial","Non-Compliant")))</f>
        <v/>
      </c>
    </row>
    <row r="73">
      <c r="A73" s="16">
        <f>IF(B73&lt;&gt;"","SYS-"&amp;TEXT(ROW()-8,"000"),"")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16">
        <f>IF(B73="","",IF(AND(O73="Yes",P73="Yes"),"Compliant",IF(OR(O73="Partial",P73="Planned"),"Partial","Non-Compliant")))</f>
        <v/>
      </c>
    </row>
    <row r="74">
      <c r="A74" s="16">
        <f>IF(B74&lt;&gt;"","SYS-"&amp;TEXT(ROW()-8,"000"),"")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16">
        <f>IF(B74="","",IF(AND(O74="Yes",P74="Yes"),"Compliant",IF(OR(O74="Partial",P74="Planned"),"Partial","Non-Compliant")))</f>
        <v/>
      </c>
    </row>
    <row r="75">
      <c r="A75" s="16">
        <f>IF(B75&lt;&gt;"","SYS-"&amp;TEXT(ROW()-8,"000"),"")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16">
        <f>IF(B75="","",IF(AND(O75="Yes",P75="Yes"),"Compliant",IF(OR(O75="Partial",P75="Planned"),"Partial","Non-Compliant")))</f>
        <v/>
      </c>
    </row>
    <row r="76">
      <c r="A76" s="16">
        <f>IF(B76&lt;&gt;"","SYS-"&amp;TEXT(ROW()-8,"000"),"")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16">
        <f>IF(B76="","",IF(AND(O76="Yes",P76="Yes"),"Compliant",IF(OR(O76="Partial",P76="Planned"),"Partial","Non-Compliant")))</f>
        <v/>
      </c>
    </row>
    <row r="77">
      <c r="A77" s="16">
        <f>IF(B77&lt;&gt;"","SYS-"&amp;TEXT(ROW()-8,"000"),"")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16">
        <f>IF(B77="","",IF(AND(O77="Yes",P77="Yes"),"Compliant",IF(OR(O77="Partial",P77="Planned"),"Partial","Non-Compliant")))</f>
        <v/>
      </c>
    </row>
    <row r="78">
      <c r="A78" s="16">
        <f>IF(B78&lt;&gt;"","SYS-"&amp;TEXT(ROW()-8,"000"),"")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16">
        <f>IF(B78="","",IF(AND(O78="Yes",P78="Yes"),"Compliant",IF(OR(O78="Partial",P78="Planned"),"Partial","Non-Compliant")))</f>
        <v/>
      </c>
    </row>
    <row r="79">
      <c r="A79" s="16">
        <f>IF(B79&lt;&gt;"","SYS-"&amp;TEXT(ROW()-8,"000"),"")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16">
        <f>IF(B79="","",IF(AND(O79="Yes",P79="Yes"),"Compliant",IF(OR(O79="Partial",P79="Planned"),"Partial","Non-Compliant")))</f>
        <v/>
      </c>
    </row>
    <row r="80">
      <c r="A80" s="16">
        <f>IF(B80&lt;&gt;"","SYS-"&amp;TEXT(ROW()-8,"000"),"")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16">
        <f>IF(B80="","",IF(AND(O80="Yes",P80="Yes"),"Compliant",IF(OR(O80="Partial",P80="Planned"),"Partial","Non-Compliant")))</f>
        <v/>
      </c>
    </row>
    <row r="81">
      <c r="A81" s="16">
        <f>IF(B81&lt;&gt;"","SYS-"&amp;TEXT(ROW()-8,"000"),"")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16">
        <f>IF(B81="","",IF(AND(O81="Yes",P81="Yes"),"Compliant",IF(OR(O81="Partial",P81="Planned"),"Partial","Non-Compliant")))</f>
        <v/>
      </c>
    </row>
    <row r="82">
      <c r="A82" s="16">
        <f>IF(B82&lt;&gt;"","SYS-"&amp;TEXT(ROW()-8,"000"),"")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16">
        <f>IF(B82="","",IF(AND(O82="Yes",P82="Yes"),"Compliant",IF(OR(O82="Partial",P82="Planned"),"Partial","Non-Compliant")))</f>
        <v/>
      </c>
    </row>
    <row r="83">
      <c r="A83" s="16">
        <f>IF(B83&lt;&gt;"","SYS-"&amp;TEXT(ROW()-8,"000"),"")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16">
        <f>IF(B83="","",IF(AND(O83="Yes",P83="Yes"),"Compliant",IF(OR(O83="Partial",P83="Planned"),"Partial","Non-Compliant")))</f>
        <v/>
      </c>
    </row>
    <row r="84">
      <c r="A84" s="16">
        <f>IF(B84&lt;&gt;"","SYS-"&amp;TEXT(ROW()-8,"000"),"")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16">
        <f>IF(B84="","",IF(AND(O84="Yes",P84="Yes"),"Compliant",IF(OR(O84="Partial",P84="Planned"),"Partial","Non-Compliant")))</f>
        <v/>
      </c>
    </row>
    <row r="85">
      <c r="A85" s="16">
        <f>IF(B85&lt;&gt;"","SYS-"&amp;TEXT(ROW()-8,"000"),"")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16">
        <f>IF(B85="","",IF(AND(O85="Yes",P85="Yes"),"Compliant",IF(OR(O85="Partial",P85="Planned"),"Partial","Non-Compliant")))</f>
        <v/>
      </c>
    </row>
    <row r="86">
      <c r="A86" s="16">
        <f>IF(B86&lt;&gt;"","SYS-"&amp;TEXT(ROW()-8,"000"),"")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16">
        <f>IF(B86="","",IF(AND(O86="Yes",P86="Yes"),"Compliant",IF(OR(O86="Partial",P86="Planned"),"Partial","Non-Compliant")))</f>
        <v/>
      </c>
    </row>
    <row r="87">
      <c r="A87" s="16">
        <f>IF(B87&lt;&gt;"","SYS-"&amp;TEXT(ROW()-8,"000"),"")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16">
        <f>IF(B87="","",IF(AND(O87="Yes",P87="Yes"),"Compliant",IF(OR(O87="Partial",P87="Planned"),"Partial","Non-Compliant")))</f>
        <v/>
      </c>
    </row>
    <row r="88">
      <c r="A88" s="16">
        <f>IF(B88&lt;&gt;"","SYS-"&amp;TEXT(ROW()-8,"000"),"")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16">
        <f>IF(B88="","",IF(AND(O88="Yes",P88="Yes"),"Compliant",IF(OR(O88="Partial",P88="Planned"),"Partial","Non-Compliant")))</f>
        <v/>
      </c>
    </row>
    <row r="89">
      <c r="A89" s="16">
        <f>IF(B89&lt;&gt;"","SYS-"&amp;TEXT(ROW()-8,"000"),"")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16">
        <f>IF(B89="","",IF(AND(O89="Yes",P89="Yes"),"Compliant",IF(OR(O89="Partial",P89="Planned"),"Partial","Non-Compliant")))</f>
        <v/>
      </c>
    </row>
    <row r="90">
      <c r="A90" s="16">
        <f>IF(B90&lt;&gt;"","SYS-"&amp;TEXT(ROW()-8,"000"),"")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16">
        <f>IF(B90="","",IF(AND(O90="Yes",P90="Yes"),"Compliant",IF(OR(O90="Partial",P90="Planned"),"Partial","Non-Compliant")))</f>
        <v/>
      </c>
    </row>
    <row r="91">
      <c r="A91" s="16">
        <f>IF(B91&lt;&gt;"","SYS-"&amp;TEXT(ROW()-8,"000"),"")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16">
        <f>IF(B91="","",IF(AND(O91="Yes",P91="Yes"),"Compliant",IF(OR(O91="Partial",P91="Planned"),"Partial","Non-Compliant")))</f>
        <v/>
      </c>
    </row>
    <row r="92">
      <c r="A92" s="16">
        <f>IF(B92&lt;&gt;"","SYS-"&amp;TEXT(ROW()-8,"000"),"")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16">
        <f>IF(B92="","",IF(AND(O92="Yes",P92="Yes"),"Compliant",IF(OR(O92="Partial",P92="Planned"),"Partial","Non-Compliant")))</f>
        <v/>
      </c>
    </row>
    <row r="93">
      <c r="A93" s="16">
        <f>IF(B93&lt;&gt;"","SYS-"&amp;TEXT(ROW()-8,"000"),"")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16">
        <f>IF(B93="","",IF(AND(O93="Yes",P93="Yes"),"Compliant",IF(OR(O93="Partial",P93="Planned"),"Partial","Non-Compliant")))</f>
        <v/>
      </c>
    </row>
    <row r="94">
      <c r="A94" s="16">
        <f>IF(B94&lt;&gt;"","SYS-"&amp;TEXT(ROW()-8,"000"),"")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16">
        <f>IF(B94="","",IF(AND(O94="Yes",P94="Yes"),"Compliant",IF(OR(O94="Partial",P94="Planned"),"Partial","Non-Compliant")))</f>
        <v/>
      </c>
    </row>
    <row r="95">
      <c r="A95" s="16">
        <f>IF(B95&lt;&gt;"","SYS-"&amp;TEXT(ROW()-8,"000"),"")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16">
        <f>IF(B95="","",IF(AND(O95="Yes",P95="Yes"),"Compliant",IF(OR(O95="Partial",P95="Planned"),"Partial","Non-Compliant")))</f>
        <v/>
      </c>
    </row>
    <row r="96">
      <c r="A96" s="16">
        <f>IF(B96&lt;&gt;"","SYS-"&amp;TEXT(ROW()-8,"000"),"")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6">
        <f>IF(B96="","",IF(AND(O96="Yes",P96="Yes"),"Compliant",IF(OR(O96="Partial",P96="Planned"),"Partial","Non-Compliant")))</f>
        <v/>
      </c>
    </row>
    <row r="97">
      <c r="A97" s="16">
        <f>IF(B97&lt;&gt;"","SYS-"&amp;TEXT(ROW()-8,"000"),"")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16">
        <f>IF(B97="","",IF(AND(O97="Yes",P97="Yes"),"Compliant",IF(OR(O97="Partial",P97="Planned"),"Partial","Non-Compliant")))</f>
        <v/>
      </c>
    </row>
    <row r="98">
      <c r="A98" s="16">
        <f>IF(B98&lt;&gt;"","SYS-"&amp;TEXT(ROW()-8,"000"),"")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16">
        <f>IF(B98="","",IF(AND(O98="Yes",P98="Yes"),"Compliant",IF(OR(O98="Partial",P98="Planned"),"Partial","Non-Compliant")))</f>
        <v/>
      </c>
    </row>
    <row r="99">
      <c r="A99" s="16">
        <f>IF(B99&lt;&gt;"","SYS-"&amp;TEXT(ROW()-8,"000"),"")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16">
        <f>IF(B99="","",IF(AND(O99="Yes",P99="Yes"),"Compliant",IF(OR(O99="Partial",P99="Planned"),"Partial","Non-Compliant")))</f>
        <v/>
      </c>
    </row>
    <row r="100">
      <c r="A100" s="16">
        <f>IF(B100&lt;&gt;"","SYS-"&amp;TEXT(ROW()-8,"000"),"")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16">
        <f>IF(B100="","",IF(AND(O100="Yes",P100="Yes"),"Compliant",IF(OR(O100="Partial",P100="Planned"),"Partial","Non-Compliant")))</f>
        <v/>
      </c>
    </row>
  </sheetData>
  <mergeCells count="2">
    <mergeCell ref="A2:Q2"/>
    <mergeCell ref="A1:Q1"/>
  </mergeCells>
  <conditionalFormatting sqref="Q9:Q100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9:C100" showDropDown="0" showInputMessage="0" showErrorMessage="0" allowBlank="0" type="list">
      <formula1>"Server,Network Device,Security Appliance,Application,Cloud Service,Database,Other"</formula1>
    </dataValidation>
    <dataValidation sqref="D9:D100" showDropDown="0" showInputMessage="0" showErrorMessage="0" allowBlank="0" type="list">
      <formula1>"Windows,Linux,Unix,Network OS,Cloud,Application Platform,Other"</formula1>
    </dataValidation>
    <dataValidation sqref="E9:E100" showDropDown="0" showInputMessage="0" showErrorMessage="0" allowBlank="0" type="list">
      <formula1>"Production,Staging,Development,Test"</formula1>
    </dataValidation>
    <dataValidation sqref="F9:F100" showDropDown="0" showInputMessage="0" showErrorMessage="0" allowBlank="0" type="list">
      <formula1>"Public,Internal,Confidential,Restricted"</formula1>
    </dataValidation>
    <dataValidation sqref="G9:G100" showDropDown="0" showInputMessage="0" showErrorMessage="0" allowBlank="0" type="list">
      <formula1>"🔴 Critical (T1),🟡 High (T2),🟢 Medium (T3),⚫ Low (T4)"</formula1>
    </dataValidation>
    <dataValidation sqref="I9:I100" showDropDown="0" showInputMessage="0" showErrorMessage="0" allowBlank="0" type="list">
      <formula1>"🔴 P1-Critical,🟡 P2-High,🟢 P3-Medium,⚫ P4-Low"</formula1>
    </dataValidation>
    <dataValidation sqref="O9:O100" showDropDown="0" showInputMessage="0" showErrorMessage="0" allowBlank="0" type="list">
      <formula1>"✅ Yes,❌ No,⚠️ Partial,❓ Unknown"</formula1>
    </dataValidation>
    <dataValidation sqref="P9:P100" showDropDown="0" showInputMessage="0" showErrorMessage="0" allowBlank="0" type="list">
      <formula1>"✅ Yes,❌ No,⏳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40" customHeight="1">
      <c r="A1" s="1" t="inlineStr">
        <is>
          <t>LOG EVENT TYPES BY SYSTEM</t>
        </is>
      </c>
    </row>
    <row r="2" ht="30" customHeight="1">
      <c r="A2" s="6" t="inlineStr">
        <is>
          <t>For each system, document which event types are logged. This assesses logging completeness per ISMS-POL-A.8.15-S2.1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Authentication Events</t>
        </is>
      </c>
      <c r="D7" s="14" t="inlineStr">
        <is>
          <t>Authorization Events</t>
        </is>
      </c>
      <c r="E7" s="14" t="inlineStr">
        <is>
          <t>Administrative Actions</t>
        </is>
      </c>
      <c r="F7" s="14" t="inlineStr">
        <is>
          <t>Security Events</t>
        </is>
      </c>
      <c r="G7" s="14" t="inlineStr">
        <is>
          <t>Application Events</t>
        </is>
      </c>
      <c r="H7" s="14" t="inlineStr">
        <is>
          <t>System Events</t>
        </is>
      </c>
      <c r="I7" s="14" t="inlineStr">
        <is>
          <t>Network Events</t>
        </is>
      </c>
      <c r="J7" s="14" t="inlineStr">
        <is>
          <t>Database Events</t>
        </is>
      </c>
      <c r="K7" s="14" t="inlineStr">
        <is>
          <t>Log Format</t>
        </is>
      </c>
      <c r="L7" s="14" t="inlineStr">
        <is>
          <t>Timestamp Format</t>
        </is>
      </c>
      <c r="M7" s="14" t="inlineStr">
        <is>
          <t>Timezone</t>
        </is>
      </c>
      <c r="N7" s="14" t="inlineStr">
        <is>
          <t>Est. Daily Volume (MB)</t>
        </is>
      </c>
      <c r="O7" s="14" t="inlineStr">
        <is>
          <t>Retention Period (months)</t>
        </is>
      </c>
      <c r="P7" s="14" t="inlineStr">
        <is>
          <t>Storage Tier</t>
        </is>
      </c>
      <c r="Q7" s="14" t="inlineStr">
        <is>
          <t>Protection Mechanisms</t>
        </is>
      </c>
      <c r="R7" s="14" t="inlineStr">
        <is>
          <t>Event Types Completeness</t>
        </is>
      </c>
      <c r="S7" s="14" t="inlineStr">
        <is>
          <t>Notes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Partial</t>
        </is>
      </c>
      <c r="I8" s="15" t="inlineStr">
        <is>
          <t>Partial</t>
        </is>
      </c>
      <c r="J8" s="15" t="inlineStr">
        <is>
          <t>N/A</t>
        </is>
      </c>
      <c r="K8" s="15" t="inlineStr">
        <is>
          <t>Syslog</t>
        </is>
      </c>
      <c r="L8" s="15" t="inlineStr">
        <is>
          <t>ISO 8601</t>
        </is>
      </c>
      <c r="M8" s="15" t="inlineStr">
        <is>
          <t>UTC</t>
        </is>
      </c>
      <c r="N8" s="15" t="inlineStr">
        <is>
          <t>150</t>
        </is>
      </c>
      <c r="O8" s="15" t="inlineStr">
        <is>
          <t>12</t>
        </is>
      </c>
      <c r="P8" s="15" t="inlineStr">
        <is>
          <t>Hot</t>
        </is>
      </c>
      <c r="Q8" s="15" t="inlineStr">
        <is>
          <t>Access Controls, Encryption</t>
        </is>
      </c>
      <c r="R8" s="15" t="inlineStr">
        <is>
          <t>87.5%</t>
        </is>
      </c>
      <c r="S8" s="15" t="inlineStr">
        <is>
          <t>Web server logs include app events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17">
        <f>IF(A9="","",COUNTIF(C9:J9,"*Yes*")/COUNTA(C9:J9))</f>
        <v/>
      </c>
      <c r="S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17">
        <f>IF(A10="","",COUNTIF(C10:J10,"*Yes*")/COUNTA(C10:J10))</f>
        <v/>
      </c>
      <c r="S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7">
        <f>IF(A11="","",COUNTIF(C11:J11,"*Yes*")/COUNTA(C11:J11))</f>
        <v/>
      </c>
      <c r="S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17">
        <f>IF(A12="","",COUNTIF(C12:J12,"*Yes*")/COUNTA(C12:J12))</f>
        <v/>
      </c>
      <c r="S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17">
        <f>IF(A13="","",COUNTIF(C13:J13,"*Yes*")/COUNTA(C13:J13))</f>
        <v/>
      </c>
      <c r="S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17">
        <f>IF(A14="","",COUNTIF(C14:J14,"*Yes*")/COUNTA(C14:J14))</f>
        <v/>
      </c>
      <c r="S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17">
        <f>IF(A15="","",COUNTIF(C15:J15,"*Yes*")/COUNTA(C15:J15))</f>
        <v/>
      </c>
      <c r="S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17">
        <f>IF(A16="","",COUNTIF(C16:J16,"*Yes*")/COUNTA(C16:J16))</f>
        <v/>
      </c>
      <c r="S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17">
        <f>IF(A17="","",COUNTIF(C17:J17,"*Yes*")/COUNTA(C17:J17))</f>
        <v/>
      </c>
      <c r="S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17">
        <f>IF(A18="","",COUNTIF(C18:J18,"*Yes*")/COUNTA(C18:J18))</f>
        <v/>
      </c>
      <c r="S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17">
        <f>IF(A19="","",COUNTIF(C19:J19,"*Yes*")/COUNTA(C19:J19))</f>
        <v/>
      </c>
      <c r="S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17">
        <f>IF(A20="","",COUNTIF(C20:J20,"*Yes*")/COUNTA(C20:J20))</f>
        <v/>
      </c>
      <c r="S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17">
        <f>IF(A21="","",COUNTIF(C21:J21,"*Yes*")/COUNTA(C21:J21))</f>
        <v/>
      </c>
      <c r="S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17">
        <f>IF(A22="","",COUNTIF(C22:J22,"*Yes*")/COUNTA(C22:J22))</f>
        <v/>
      </c>
      <c r="S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17">
        <f>IF(A23="","",COUNTIF(C23:J23,"*Yes*")/COUNTA(C23:J23))</f>
        <v/>
      </c>
      <c r="S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17">
        <f>IF(A24="","",COUNTIF(C24:J24,"*Yes*")/COUNTA(C24:J24))</f>
        <v/>
      </c>
      <c r="S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17">
        <f>IF(A25="","",COUNTIF(C25:J25,"*Yes*")/COUNTA(C25:J25))</f>
        <v/>
      </c>
      <c r="S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17">
        <f>IF(A26="","",COUNTIF(C26:J26,"*Yes*")/COUNTA(C26:J26))</f>
        <v/>
      </c>
      <c r="S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17">
        <f>IF(A27="","",COUNTIF(C27:J27,"*Yes*")/COUNTA(C27:J27))</f>
        <v/>
      </c>
      <c r="S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17">
        <f>IF(A28="","",COUNTIF(C28:J28,"*Yes*")/COUNTA(C28:J28))</f>
        <v/>
      </c>
      <c r="S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17">
        <f>IF(A29="","",COUNTIF(C29:J29,"*Yes*")/COUNTA(C29:J29))</f>
        <v/>
      </c>
      <c r="S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17">
        <f>IF(A30="","",COUNTIF(C30:J30,"*Yes*")/COUNTA(C30:J30))</f>
        <v/>
      </c>
      <c r="S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17">
        <f>IF(A31="","",COUNTIF(C31:J31,"*Yes*")/COUNTA(C31:J31))</f>
        <v/>
      </c>
      <c r="S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17">
        <f>IF(A32="","",COUNTIF(C32:J32,"*Yes*")/COUNTA(C32:J32))</f>
        <v/>
      </c>
      <c r="S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17">
        <f>IF(A33="","",COUNTIF(C33:J33,"*Yes*")/COUNTA(C33:J33))</f>
        <v/>
      </c>
      <c r="S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17">
        <f>IF(A34="","",COUNTIF(C34:J34,"*Yes*")/COUNTA(C34:J34))</f>
        <v/>
      </c>
      <c r="S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17">
        <f>IF(A35="","",COUNTIF(C35:J35,"*Yes*")/COUNTA(C35:J35))</f>
        <v/>
      </c>
      <c r="S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17">
        <f>IF(A36="","",COUNTIF(C36:J36,"*Yes*")/COUNTA(C36:J36))</f>
        <v/>
      </c>
      <c r="S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17">
        <f>IF(A37="","",COUNTIF(C37:J37,"*Yes*")/COUNTA(C37:J37))</f>
        <v/>
      </c>
      <c r="S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17">
        <f>IF(A38="","",COUNTIF(C38:J38,"*Yes*")/COUNTA(C38:J38))</f>
        <v/>
      </c>
      <c r="S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17">
        <f>IF(A39="","",COUNTIF(C39:J39,"*Yes*")/COUNTA(C39:J39))</f>
        <v/>
      </c>
      <c r="S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17">
        <f>IF(A40="","",COUNTIF(C40:J40,"*Yes*")/COUNTA(C40:J40))</f>
        <v/>
      </c>
      <c r="S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17">
        <f>IF(A41="","",COUNTIF(C41:J41,"*Yes*")/COUNTA(C41:J41))</f>
        <v/>
      </c>
      <c r="S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17">
        <f>IF(A42="","",COUNTIF(C42:J42,"*Yes*")/COUNTA(C42:J42))</f>
        <v/>
      </c>
      <c r="S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17">
        <f>IF(A43="","",COUNTIF(C43:J43,"*Yes*")/COUNTA(C43:J43))</f>
        <v/>
      </c>
      <c r="S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17">
        <f>IF(A44="","",COUNTIF(C44:J44,"*Yes*")/COUNTA(C44:J44))</f>
        <v/>
      </c>
      <c r="S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17">
        <f>IF(A45="","",COUNTIF(C45:J45,"*Yes*")/COUNTA(C45:J45))</f>
        <v/>
      </c>
      <c r="S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17">
        <f>IF(A46="","",COUNTIF(C46:J46,"*Yes*")/COUNTA(C46:J46))</f>
        <v/>
      </c>
      <c r="S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17">
        <f>IF(A47="","",COUNTIF(C47:J47,"*Yes*")/COUNTA(C47:J47))</f>
        <v/>
      </c>
      <c r="S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17">
        <f>IF(A48="","",COUNTIF(C48:J48,"*Yes*")/COUNTA(C48:J48))</f>
        <v/>
      </c>
      <c r="S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17">
        <f>IF(A49="","",COUNTIF(C49:J49,"*Yes*")/COUNTA(C49:J49))</f>
        <v/>
      </c>
      <c r="S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17">
        <f>IF(A50="","",COUNTIF(C50:J50,"*Yes*")/COUNTA(C50:J50))</f>
        <v/>
      </c>
      <c r="S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17">
        <f>IF(A51="","",COUNTIF(C51:J51,"*Yes*")/COUNTA(C51:J51))</f>
        <v/>
      </c>
      <c r="S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17">
        <f>IF(A52="","",COUNTIF(C52:J52,"*Yes*")/COUNTA(C52:J52))</f>
        <v/>
      </c>
      <c r="S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17">
        <f>IF(A53="","",COUNTIF(C53:J53,"*Yes*")/COUNTA(C53:J53))</f>
        <v/>
      </c>
      <c r="S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17">
        <f>IF(A54="","",COUNTIF(C54:J54,"*Yes*")/COUNTA(C54:J54))</f>
        <v/>
      </c>
      <c r="S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17">
        <f>IF(A55="","",COUNTIF(C55:J55,"*Yes*")/COUNTA(C55:J55))</f>
        <v/>
      </c>
      <c r="S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17">
        <f>IF(A56="","",COUNTIF(C56:J56,"*Yes*")/COUNTA(C56:J56))</f>
        <v/>
      </c>
      <c r="S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17">
        <f>IF(A57="","",COUNTIF(C57:J57,"*Yes*")/COUNTA(C57:J57))</f>
        <v/>
      </c>
      <c r="S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17">
        <f>IF(A58="","",COUNTIF(C58:J58,"*Yes*")/COUNTA(C58:J58))</f>
        <v/>
      </c>
      <c r="S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17">
        <f>IF(A59="","",COUNTIF(C59:J59,"*Yes*")/COUNTA(C59:J59))</f>
        <v/>
      </c>
      <c r="S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17">
        <f>IF(A60="","",COUNTIF(C60:J60,"*Yes*")/COUNTA(C60:J60))</f>
        <v/>
      </c>
      <c r="S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17">
        <f>IF(A61="","",COUNTIF(C61:J61,"*Yes*")/COUNTA(C61:J61))</f>
        <v/>
      </c>
      <c r="S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17">
        <f>IF(A62="","",COUNTIF(C62:J62,"*Yes*")/COUNTA(C62:J62))</f>
        <v/>
      </c>
      <c r="S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17">
        <f>IF(A63="","",COUNTIF(C63:J63,"*Yes*")/COUNTA(C63:J63))</f>
        <v/>
      </c>
      <c r="S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17">
        <f>IF(A64="","",COUNTIF(C64:J64,"*Yes*")/COUNTA(C64:J64))</f>
        <v/>
      </c>
      <c r="S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17">
        <f>IF(A65="","",COUNTIF(C65:J65,"*Yes*")/COUNTA(C65:J65))</f>
        <v/>
      </c>
      <c r="S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17">
        <f>IF(A66="","",COUNTIF(C66:J66,"*Yes*")/COUNTA(C66:J66))</f>
        <v/>
      </c>
      <c r="S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17">
        <f>IF(A67="","",COUNTIF(C67:J67,"*Yes*")/COUNTA(C67:J67))</f>
        <v/>
      </c>
      <c r="S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17">
        <f>IF(A68="","",COUNTIF(C68:J68,"*Yes*")/COUNTA(C68:J68))</f>
        <v/>
      </c>
      <c r="S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17">
        <f>IF(A69="","",COUNTIF(C69:J69,"*Yes*")/COUNTA(C69:J69))</f>
        <v/>
      </c>
      <c r="S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17">
        <f>IF(A70="","",COUNTIF(C70:J70,"*Yes*")/COUNTA(C70:J70))</f>
        <v/>
      </c>
      <c r="S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17">
        <f>IF(A71="","",COUNTIF(C71:J71,"*Yes*")/COUNTA(C71:J71))</f>
        <v/>
      </c>
      <c r="S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17">
        <f>IF(A72="","",COUNTIF(C72:J72,"*Yes*")/COUNTA(C72:J72))</f>
        <v/>
      </c>
      <c r="S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17">
        <f>IF(A73="","",COUNTIF(C73:J73,"*Yes*")/COUNTA(C73:J73))</f>
        <v/>
      </c>
      <c r="S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17">
        <f>IF(A74="","",COUNTIF(C74:J74,"*Yes*")/COUNTA(C74:J74))</f>
        <v/>
      </c>
      <c r="S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17">
        <f>IF(A75="","",COUNTIF(C75:J75,"*Yes*")/COUNTA(C75:J75))</f>
        <v/>
      </c>
      <c r="S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17">
        <f>IF(A76="","",COUNTIF(C76:J76,"*Yes*")/COUNTA(C76:J76))</f>
        <v/>
      </c>
      <c r="S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17">
        <f>IF(A77="","",COUNTIF(C77:J77,"*Yes*")/COUNTA(C77:J77))</f>
        <v/>
      </c>
      <c r="S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17">
        <f>IF(A78="","",COUNTIF(C78:J78,"*Yes*")/COUNTA(C78:J78))</f>
        <v/>
      </c>
      <c r="S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17">
        <f>IF(A79="","",COUNTIF(C79:J79,"*Yes*")/COUNTA(C79:J79))</f>
        <v/>
      </c>
      <c r="S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17">
        <f>IF(A80="","",COUNTIF(C80:J80,"*Yes*")/COUNTA(C80:J80))</f>
        <v/>
      </c>
      <c r="S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17">
        <f>IF(A81="","",COUNTIF(C81:J81,"*Yes*")/COUNTA(C81:J81))</f>
        <v/>
      </c>
      <c r="S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17">
        <f>IF(A82="","",COUNTIF(C82:J82,"*Yes*")/COUNTA(C82:J82))</f>
        <v/>
      </c>
      <c r="S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17">
        <f>IF(A83="","",COUNTIF(C83:J83,"*Yes*")/COUNTA(C83:J83))</f>
        <v/>
      </c>
      <c r="S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17">
        <f>IF(A84="","",COUNTIF(C84:J84,"*Yes*")/COUNTA(C84:J84))</f>
        <v/>
      </c>
      <c r="S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17">
        <f>IF(A85="","",COUNTIF(C85:J85,"*Yes*")/COUNTA(C85:J85))</f>
        <v/>
      </c>
      <c r="S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17">
        <f>IF(A86="","",COUNTIF(C86:J86,"*Yes*")/COUNTA(C86:J86))</f>
        <v/>
      </c>
      <c r="S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17">
        <f>IF(A87="","",COUNTIF(C87:J87,"*Yes*")/COUNTA(C87:J87))</f>
        <v/>
      </c>
      <c r="S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17">
        <f>IF(A88="","",COUNTIF(C88:J88,"*Yes*")/COUNTA(C88:J88))</f>
        <v/>
      </c>
      <c r="S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17">
        <f>IF(A89="","",COUNTIF(C89:J89,"*Yes*")/COUNTA(C89:J89))</f>
        <v/>
      </c>
      <c r="S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17">
        <f>IF(A90="","",COUNTIF(C90:J90,"*Yes*")/COUNTA(C90:J90))</f>
        <v/>
      </c>
      <c r="S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17">
        <f>IF(A91="","",COUNTIF(C91:J91,"*Yes*")/COUNTA(C91:J91))</f>
        <v/>
      </c>
      <c r="S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17">
        <f>IF(A92="","",COUNTIF(C92:J92,"*Yes*")/COUNTA(C92:J92))</f>
        <v/>
      </c>
      <c r="S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17">
        <f>IF(A93="","",COUNTIF(C93:J93,"*Yes*")/COUNTA(C93:J93))</f>
        <v/>
      </c>
      <c r="S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17">
        <f>IF(A94="","",COUNTIF(C94:J94,"*Yes*")/COUNTA(C94:J94))</f>
        <v/>
      </c>
      <c r="S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17">
        <f>IF(A95="","",COUNTIF(C95:J95,"*Yes*")/COUNTA(C95:J95))</f>
        <v/>
      </c>
      <c r="S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17">
        <f>IF(A96="","",COUNTIF(C96:J96,"*Yes*")/COUNTA(C96:J96))</f>
        <v/>
      </c>
      <c r="S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17">
        <f>IF(A97="","",COUNTIF(C97:J97,"*Yes*")/COUNTA(C97:J97))</f>
        <v/>
      </c>
      <c r="S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17">
        <f>IF(A98="","",COUNTIF(C98:J98,"*Yes*")/COUNTA(C98:J98))</f>
        <v/>
      </c>
      <c r="S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17">
        <f>IF(A99="","",COUNTIF(C99:J99,"*Yes*")/COUNTA(C99:J99))</f>
        <v/>
      </c>
      <c r="S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17">
        <f>IF(A100="","",COUNTIF(C100:J100,"*Yes*")/COUNTA(C100:J100))</f>
        <v/>
      </c>
      <c r="S100" s="5" t="n"/>
    </row>
  </sheetData>
  <mergeCells count="2">
    <mergeCell ref="A2:S2"/>
    <mergeCell ref="A1:S1"/>
  </mergeCells>
  <conditionalFormatting sqref="R9:R100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"Syslog,CEF,JSON,EVTX,Custom,Unknown"</formula1>
    </dataValidation>
    <dataValidation sqref="L9:L100" showDropDown="0" showInputMessage="0" showErrorMessage="0" allowBlank="1" type="list">
      <formula1>"ISO 8601,RFC 3339,Unix Epoch,Custom,Unknown"</formula1>
    </dataValidation>
    <dataValidation sqref="M9:M100" showDropDown="0" showInputMessage="0" showErrorMessage="0" allowBlank="1" type="list">
      <formula1>"UTC,Local,Unknown"</formula1>
    </dataValidation>
    <dataValidation sqref="P9:P100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AUTHENTICATION LOGGING ASSESSMENT</t>
        </is>
      </c>
    </row>
    <row r="2" ht="30" customHeight="1">
      <c r="A2" s="6" t="inlineStr">
        <is>
          <t>Assess authentication event logging completeness per ISMS-POL-A.8.15-S2.1.2</t>
        </is>
      </c>
    </row>
    <row r="4">
      <c r="A4" s="18" t="inlineStr">
        <is>
          <t>Policy Requirement: ISMS-POL-A.8.15-S2.1.2 (Authentication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Logs Successful Logins</t>
        </is>
      </c>
      <c r="D7" s="14" t="inlineStr">
        <is>
          <t>Logs Failed Logins</t>
        </is>
      </c>
      <c r="E7" s="14" t="inlineStr">
        <is>
          <t>Logs Account Lockouts</t>
        </is>
      </c>
      <c r="F7" s="14" t="inlineStr">
        <is>
          <t>Logs Password Changes</t>
        </is>
      </c>
      <c r="G7" s="14" t="inlineStr">
        <is>
          <t>Logs Session Start/End</t>
        </is>
      </c>
      <c r="H7" s="14" t="inlineStr">
        <is>
          <t>Includes User ID</t>
        </is>
      </c>
      <c r="I7" s="14" t="inlineStr">
        <is>
          <t>Includes Timestamp</t>
        </is>
      </c>
      <c r="J7" s="14" t="inlineStr">
        <is>
          <t>Includes Source IP</t>
        </is>
      </c>
      <c r="K7" s="14" t="inlineStr">
        <is>
          <t>Includes Auth Method</t>
        </is>
      </c>
      <c r="L7" s="14" t="inlineStr">
        <is>
          <t>MFA Events Logged</t>
        </is>
      </c>
      <c r="M7" s="14" t="inlineStr">
        <is>
          <t>SSO Events Logged</t>
        </is>
      </c>
      <c r="N7" s="14" t="inlineStr">
        <is>
          <t>Service Account Auth</t>
        </is>
      </c>
      <c r="O7" s="14" t="inlineStr">
        <is>
          <t>Privileged Auth Logged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N/A</t>
        </is>
      </c>
      <c r="O8" s="15" t="inlineStr">
        <is>
          <t>Yes</t>
        </is>
      </c>
      <c r="P8" s="15" t="inlineStr">
        <is>
          <t>100.0%</t>
        </is>
      </c>
      <c r="Q8" s="15" t="inlineStr"/>
      <c r="R8" s="15" t="inlineStr"/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AUTHORIZATION &amp; ACCESS LOGGING ASSESSMENT</t>
        </is>
      </c>
    </row>
    <row r="2" ht="30" customHeight="1">
      <c r="A2" s="6" t="inlineStr">
        <is>
          <t>Assess access control event logging per ISMS-POL-A.8.15-S2.1.3</t>
        </is>
      </c>
    </row>
    <row r="4">
      <c r="A4" s="18" t="inlineStr">
        <is>
          <t>Policy Requirement: ISMS-POL-A.8.15-S2.1.3 (Authorization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Logs Access Grants</t>
        </is>
      </c>
      <c r="D7" s="14" t="inlineStr">
        <is>
          <t>Logs Access Denials</t>
        </is>
      </c>
      <c r="E7" s="14" t="inlineStr">
        <is>
          <t>Logs Permission Changes</t>
        </is>
      </c>
      <c r="F7" s="14" t="inlineStr">
        <is>
          <t>Logs Privilege Escalation</t>
        </is>
      </c>
      <c r="G7" s="14" t="inlineStr">
        <is>
          <t>Logs Data Access (Sensitive)</t>
        </is>
      </c>
      <c r="H7" s="14" t="inlineStr">
        <is>
          <t>Includes User ID</t>
        </is>
      </c>
      <c r="I7" s="14" t="inlineStr">
        <is>
          <t>Includes Resource Accessed</t>
        </is>
      </c>
      <c r="J7" s="14" t="inlineStr">
        <is>
          <t>Includes Action Type</t>
        </is>
      </c>
      <c r="K7" s="14" t="inlineStr">
        <is>
          <t>Includes Outcome</t>
        </is>
      </c>
      <c r="L7" s="14" t="inlineStr">
        <is>
          <t>Includes Reason (denied)</t>
        </is>
      </c>
      <c r="M7" s="14" t="inlineStr">
        <is>
          <t>Includes Before/After State</t>
        </is>
      </c>
      <c r="N7" s="14" t="inlineStr">
        <is>
          <t>Logs Group Membership</t>
        </is>
      </c>
      <c r="O7" s="14" t="inlineStr">
        <is>
          <t>Logs Role Assignment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Partial</t>
        </is>
      </c>
      <c r="M8" s="15" t="inlineStr">
        <is>
          <t>Partial</t>
        </is>
      </c>
      <c r="N8" s="15" t="inlineStr">
        <is>
          <t>Yes</t>
        </is>
      </c>
      <c r="O8" s="15" t="inlineStr">
        <is>
          <t>Yes</t>
        </is>
      </c>
      <c r="P8" s="15" t="inlineStr">
        <is>
          <t>92.3%</t>
        </is>
      </c>
      <c r="Q8" s="15" t="inlineStr">
        <is>
          <t>Before/After state partially logged</t>
        </is>
      </c>
      <c r="R8" s="15" t="inlineStr">
        <is>
          <t>Enhance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ADMINISTRATIVE ACTIVITY LOGGING ASSESSMENT</t>
        </is>
      </c>
    </row>
    <row r="2" ht="30" customHeight="1">
      <c r="A2" s="6" t="inlineStr">
        <is>
          <t>Assess administrative action logging per ISMS-POL-A.8.15-S2.1.4</t>
        </is>
      </c>
    </row>
    <row r="4">
      <c r="A4" s="18" t="inlineStr">
        <is>
          <t>Policy Requirement: ISMS-POL-A.8.15-S2.1.4 (Administrative Actions)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User Account Management</t>
        </is>
      </c>
      <c r="D7" s="14" t="inlineStr">
        <is>
          <t>Group/Role Management</t>
        </is>
      </c>
      <c r="E7" s="14" t="inlineStr">
        <is>
          <t>Configuration Changes</t>
        </is>
      </c>
      <c r="F7" s="14" t="inlineStr">
        <is>
          <t>Security Policy Changes</t>
        </is>
      </c>
      <c r="G7" s="14" t="inlineStr">
        <is>
          <t>Software Install/Uninstall</t>
        </is>
      </c>
      <c r="H7" s="14" t="inlineStr">
        <is>
          <t>Service Start/Stop</t>
        </is>
      </c>
      <c r="I7" s="14" t="inlineStr">
        <is>
          <t>Patch Application</t>
        </is>
      </c>
      <c r="J7" s="14" t="inlineStr">
        <is>
          <t>Bulk Data Operations</t>
        </is>
      </c>
      <c r="K7" s="14" t="inlineStr">
        <is>
          <t>Privileged Session Logging</t>
        </is>
      </c>
      <c r="L7" s="14" t="inlineStr">
        <is>
          <t>Includes Administrator ID</t>
        </is>
      </c>
      <c r="M7" s="14" t="inlineStr">
        <is>
          <t>Includes Before/After Values</t>
        </is>
      </c>
      <c r="N7" s="14" t="inlineStr">
        <is>
          <t>Includes Timestamp</t>
        </is>
      </c>
      <c r="O7" s="14" t="inlineStr">
        <is>
          <t>Includes Change Reason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Partial</t>
        </is>
      </c>
      <c r="H8" s="15" t="inlineStr">
        <is>
          <t>Yes</t>
        </is>
      </c>
      <c r="I8" s="15" t="inlineStr">
        <is>
          <t>Partial</t>
        </is>
      </c>
      <c r="J8" s="15" t="inlineStr">
        <is>
          <t>No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Partial</t>
        </is>
      </c>
      <c r="N8" s="15" t="inlineStr">
        <is>
          <t>Yes</t>
        </is>
      </c>
      <c r="O8" s="15" t="inlineStr">
        <is>
          <t>No</t>
        </is>
      </c>
      <c r="P8" s="15" t="inlineStr">
        <is>
          <t>76.9%</t>
        </is>
      </c>
      <c r="Q8" s="15" t="inlineStr">
        <is>
          <t>Change reason not logged, bulk ops not logged</t>
        </is>
      </c>
      <c r="R8" s="15" t="inlineStr">
        <is>
          <t>Implement change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SECURITY EVENT LOGGING ASSESSMENT</t>
        </is>
      </c>
    </row>
    <row r="2" ht="30" customHeight="1">
      <c r="A2" s="6" t="inlineStr">
        <is>
          <t>Assess security tool and event logging per ISMS-POL-A.8.15-S2.1.5</t>
        </is>
      </c>
    </row>
    <row r="4">
      <c r="A4" s="18" t="inlineStr">
        <is>
          <t>Policy Requirement: ISMS-POL-A.8.15-S2.1.5 (Security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Firewall Events</t>
        </is>
      </c>
      <c r="D7" s="14" t="inlineStr">
        <is>
          <t>IDS/IPS Alerts</t>
        </is>
      </c>
      <c r="E7" s="14" t="inlineStr">
        <is>
          <t>Anti-malware Events</t>
        </is>
      </c>
      <c r="F7" s="14" t="inlineStr">
        <is>
          <t>DLP Events</t>
        </is>
      </c>
      <c r="G7" s="14" t="inlineStr">
        <is>
          <t>Web Filtering Events</t>
        </is>
      </c>
      <c r="H7" s="14" t="inlineStr">
        <is>
          <t>Email Gateway Events</t>
        </is>
      </c>
      <c r="I7" s="14" t="inlineStr">
        <is>
          <t>EDR Events</t>
        </is>
      </c>
      <c r="J7" s="14" t="inlineStr">
        <is>
          <t>Vulnerability Scan Results</t>
        </is>
      </c>
      <c r="K7" s="14" t="inlineStr">
        <is>
          <t>Security Incident Events</t>
        </is>
      </c>
      <c r="L7" s="14" t="inlineStr">
        <is>
          <t>Includes Severity Level</t>
        </is>
      </c>
      <c r="M7" s="14" t="inlineStr">
        <is>
          <t>Includes Threat Indicators</t>
        </is>
      </c>
      <c r="N7" s="14" t="inlineStr">
        <is>
          <t>Includes Response Actions</t>
        </is>
      </c>
      <c r="O7" s="14" t="inlineStr">
        <is>
          <t>Automated Response Logged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FW-001</t>
        </is>
      </c>
      <c r="B8" s="15" t="inlineStr">
        <is>
          <t>perimeter-fw-01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N/A</t>
        </is>
      </c>
      <c r="F8" s="15" t="inlineStr">
        <is>
          <t>N/A</t>
        </is>
      </c>
      <c r="G8" s="15" t="inlineStr">
        <is>
          <t>N/A</t>
        </is>
      </c>
      <c r="H8" s="15" t="inlineStr">
        <is>
          <t>N/A</t>
        </is>
      </c>
      <c r="I8" s="15" t="inlineStr">
        <is>
          <t>N/A</t>
        </is>
      </c>
      <c r="J8" s="15" t="inlineStr">
        <is>
          <t>N/A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Partial</t>
        </is>
      </c>
      <c r="O8" s="15" t="inlineStr">
        <is>
          <t>No</t>
        </is>
      </c>
      <c r="P8" s="15" t="inlineStr">
        <is>
          <t>100.0%</t>
        </is>
      </c>
      <c r="Q8" s="15" t="inlineStr">
        <is>
          <t>Automated response not logged</t>
        </is>
      </c>
      <c r="R8" s="15" t="inlineStr">
        <is>
          <t>Enable response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APPLICATION &amp; DATABASE LOGGING ASSESSMENT</t>
        </is>
      </c>
    </row>
    <row r="2" ht="30" customHeight="1">
      <c r="A2" s="6" t="inlineStr">
        <is>
          <t>Assess application and database logging per ISMS-POL-A.8.15-S2.1.7</t>
        </is>
      </c>
    </row>
    <row r="4">
      <c r="A4" s="18" t="inlineStr">
        <is>
          <t>Policy Requirement: ISMS-POL-A.8.15-S2.1.7 (Application &amp; Database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Web App Access Logging</t>
        </is>
      </c>
      <c r="D7" s="14" t="inlineStr">
        <is>
          <t>API Call Logging</t>
        </is>
      </c>
      <c r="E7" s="14" t="inlineStr">
        <is>
          <t>Transaction Logging</t>
        </is>
      </c>
      <c r="F7" s="14" t="inlineStr">
        <is>
          <t>Application Errors</t>
        </is>
      </c>
      <c r="G7" s="14" t="inlineStr">
        <is>
          <t>Database Connections</t>
        </is>
      </c>
      <c r="H7" s="14" t="inlineStr">
        <is>
          <t>Database Queries (Sensitive)</t>
        </is>
      </c>
      <c r="I7" s="14" t="inlineStr">
        <is>
          <t>Schema Changes (DDL)</t>
        </is>
      </c>
      <c r="J7" s="14" t="inlineStr">
        <is>
          <t>Permission Grants</t>
        </is>
      </c>
      <c r="K7" s="14" t="inlineStr">
        <is>
          <t>Backup/Restore Operations</t>
        </is>
      </c>
      <c r="L7" s="14" t="inlineStr">
        <is>
          <t>Includes User/App Identity</t>
        </is>
      </c>
      <c r="M7" s="14" t="inlineStr">
        <is>
          <t>Includes Data Modified</t>
        </is>
      </c>
      <c r="N7" s="14" t="inlineStr">
        <is>
          <t>Includes Query Text</t>
        </is>
      </c>
      <c r="O7" s="14" t="inlineStr">
        <is>
          <t>Includes Row Count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DB-001</t>
        </is>
      </c>
      <c r="B8" s="15" t="inlineStr">
        <is>
          <t>prod-db-01</t>
        </is>
      </c>
      <c r="C8" s="15" t="inlineStr">
        <is>
          <t>N/A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Partial</t>
        </is>
      </c>
      <c r="N8" s="15" t="inlineStr">
        <is>
          <t>Partial</t>
        </is>
      </c>
      <c r="O8" s="15" t="inlineStr">
        <is>
          <t>Yes</t>
        </is>
      </c>
      <c r="P8" s="15" t="inlineStr">
        <is>
          <t>91.7%</t>
        </is>
      </c>
      <c r="Q8" s="15" t="inlineStr">
        <is>
          <t>Query text truncated, data modified partially logged</t>
        </is>
      </c>
      <c r="R8" s="15" t="inlineStr">
        <is>
          <t>Enable full query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NETWORK DEVICE LOGGING ASSESSMENT</t>
        </is>
      </c>
    </row>
    <row r="2" ht="30" customHeight="1">
      <c r="A2" s="6" t="inlineStr">
        <is>
          <t>Assess network infrastructure logging per ISMS-POL-A.8.15-S2.1.8</t>
        </is>
      </c>
    </row>
    <row r="4">
      <c r="A4" s="18" t="inlineStr">
        <is>
          <t>Policy Requirement: ISMS-POL-A.8.15-S2.1.8 (Network Events)</t>
        </is>
      </c>
    </row>
    <row r="7" ht="35" customHeight="1">
      <c r="A7" s="14" t="inlineStr">
        <is>
          <t>Device ID</t>
        </is>
      </c>
      <c r="B7" s="14" t="inlineStr">
        <is>
          <t>Device Name</t>
        </is>
      </c>
      <c r="C7" s="14" t="inlineStr">
        <is>
          <t>Connection Logging</t>
        </is>
      </c>
      <c r="D7" s="14" t="inlineStr">
        <is>
          <t>Rule Match Logging</t>
        </is>
      </c>
      <c r="E7" s="14" t="inlineStr">
        <is>
          <t>Configuration Changes</t>
        </is>
      </c>
      <c r="F7" s="14" t="inlineStr">
        <is>
          <t>Interface Up/Down Events</t>
        </is>
      </c>
      <c r="G7" s="14" t="inlineStr">
        <is>
          <t>Routing Changes</t>
        </is>
      </c>
      <c r="H7" s="14" t="inlineStr">
        <is>
          <t>VPN Session Logging</t>
        </is>
      </c>
      <c r="I7" s="14" t="inlineStr">
        <is>
          <t>DHCP/DNS Events</t>
        </is>
      </c>
      <c r="J7" s="14" t="inlineStr">
        <is>
          <t>Wireless Events</t>
        </is>
      </c>
      <c r="K7" s="14" t="inlineStr">
        <is>
          <t>NAT Translations</t>
        </is>
      </c>
      <c r="L7" s="14" t="inlineStr">
        <is>
          <t>Includes Source/Dest IP</t>
        </is>
      </c>
      <c r="M7" s="14" t="inlineStr">
        <is>
          <t>Includes Ports/Protocols</t>
        </is>
      </c>
      <c r="N7" s="14" t="inlineStr">
        <is>
          <t>Includes Action (allow/deny)</t>
        </is>
      </c>
      <c r="O7" s="14" t="inlineStr">
        <is>
          <t>Includes Bytes Transferred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NET-001</t>
        </is>
      </c>
      <c r="B8" s="15" t="inlineStr">
        <is>
          <t>core-switch-01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N/A</t>
        </is>
      </c>
      <c r="I8" s="15" t="inlineStr">
        <is>
          <t>Yes</t>
        </is>
      </c>
      <c r="J8" s="15" t="inlineStr">
        <is>
          <t>N/A</t>
        </is>
      </c>
      <c r="K8" s="15" t="inlineStr">
        <is>
          <t>N/A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Yes</t>
        </is>
      </c>
      <c r="O8" s="15" t="inlineStr">
        <is>
          <t>No</t>
        </is>
      </c>
      <c r="P8" s="15" t="inlineStr">
        <is>
          <t>100.0%</t>
        </is>
      </c>
      <c r="Q8" s="15" t="inlineStr">
        <is>
          <t>Bytes transferred not logged</t>
        </is>
      </c>
      <c r="R8" s="15" t="inlineStr">
        <is>
          <t>Enable traffic volume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 - CONSOLIDATED FINDINGS</t>
        </is>
      </c>
    </row>
    <row r="2" ht="30" customHeight="1">
      <c r="A2" s="6" t="inlineStr">
        <is>
          <t>Document all identified gaps from assessment sheets. Prioritize by risk and establish remediation plans with clear ownership and target dates.</t>
        </is>
      </c>
    </row>
    <row r="7" ht="35" customHeight="1">
      <c r="A7" s="14" t="inlineStr">
        <is>
          <t>Gap ID</t>
        </is>
      </c>
      <c r="B7" s="14" t="inlineStr">
        <is>
          <t>System ID</t>
        </is>
      </c>
      <c r="C7" s="14" t="inlineStr">
        <is>
          <t>System Name</t>
        </is>
      </c>
      <c r="D7" s="14" t="inlineStr">
        <is>
          <t>Gap Category</t>
        </is>
      </c>
      <c r="E7" s="14" t="inlineStr">
        <is>
          <t>Gap Description</t>
        </is>
      </c>
      <c r="F7" s="14" t="inlineStr">
        <is>
          <t>Policy Requirement</t>
        </is>
      </c>
      <c r="G7" s="14" t="inlineStr">
        <is>
          <t>Impact / Risk</t>
        </is>
      </c>
      <c r="H7" s="14" t="inlineStr">
        <is>
          <t>Remediation Action</t>
        </is>
      </c>
      <c r="I7" s="14" t="inlineStr">
        <is>
          <t>Responsible Party</t>
        </is>
      </c>
      <c r="J7" s="14" t="inlineStr">
        <is>
          <t>Target Date</t>
        </is>
      </c>
      <c r="K7" s="14" t="inlineStr">
        <is>
          <t>Status</t>
        </is>
      </c>
      <c r="L7" s="14" t="inlineStr">
        <is>
          <t>Notes</t>
        </is>
      </c>
    </row>
    <row r="8">
      <c r="A8" s="15" t="inlineStr">
        <is>
          <t>GAP-001</t>
        </is>
      </c>
      <c r="B8" s="15" t="inlineStr">
        <is>
          <t>SYS-042</t>
        </is>
      </c>
      <c r="C8" s="15" t="inlineStr">
        <is>
          <t>mail-server-01</t>
        </is>
      </c>
      <c r="D8" s="15" t="inlineStr">
        <is>
          <t>Event Type Not Logged</t>
        </is>
      </c>
      <c r="E8" s="15" t="inlineStr">
        <is>
          <t>Failed authentication attempts not logged</t>
        </is>
      </c>
      <c r="F8" s="15" t="inlineStr">
        <is>
          <t>ISMS-POL-A.8.15-S2.1.2</t>
        </is>
      </c>
      <c r="G8" s="15" t="inlineStr">
        <is>
          <t>High</t>
        </is>
      </c>
      <c r="H8" s="15" t="inlineStr">
        <is>
          <t>Configure mail server to log authentication failures</t>
        </is>
      </c>
      <c r="I8" s="15" t="inlineStr">
        <is>
          <t>System Admin Team</t>
        </is>
      </c>
      <c r="J8" s="15" t="inlineStr">
        <is>
          <t>31.03.2026</t>
        </is>
      </c>
      <c r="K8" s="15" t="inlineStr">
        <is>
          <t>Open</t>
        </is>
      </c>
      <c r="L8" s="15" t="inlineStr">
        <is>
          <t>Vendor support required for config change</t>
        </is>
      </c>
    </row>
    <row r="9">
      <c r="A9" s="16">
        <f>IF(B9&lt;&gt;"","GAP-"&amp;TEXT(ROW()-8,"000"),"")</f>
        <v/>
      </c>
      <c r="B9" s="5" t="n"/>
      <c r="C9" s="16">
        <f>IF(B9="","",IFERROR(VLOOKUP(B9,'System Inventory'!A:B,2,FALSE),"Not Found"))</f>
        <v/>
      </c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6">
        <f>IF(B10&lt;&gt;"","GAP-"&amp;TEXT(ROW()-8,"000"),"")</f>
        <v/>
      </c>
      <c r="B10" s="5" t="n"/>
      <c r="C10" s="16">
        <f>IF(B10="","",IFERROR(VLOOKUP(B10,'System Inventory'!A:B,2,FALSE),"Not Found"))</f>
        <v/>
      </c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6">
        <f>IF(B11&lt;&gt;"","GAP-"&amp;TEXT(ROW()-8,"000"),"")</f>
        <v/>
      </c>
      <c r="B11" s="5" t="n"/>
      <c r="C11" s="16">
        <f>IF(B11="","",IFERROR(VLOOKUP(B11,'System Inventory'!A:B,2,FALSE),"Not Found"))</f>
        <v/>
      </c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6">
        <f>IF(B12&lt;&gt;"","GAP-"&amp;TEXT(ROW()-8,"000"),"")</f>
        <v/>
      </c>
      <c r="B12" s="5" t="n"/>
      <c r="C12" s="16">
        <f>IF(B12="","",IFERROR(VLOOKUP(B12,'System Inventory'!A:B,2,FALSE),"Not Found"))</f>
        <v/>
      </c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6">
        <f>IF(B13&lt;&gt;"","GAP-"&amp;TEXT(ROW()-8,"000"),"")</f>
        <v/>
      </c>
      <c r="B13" s="5" t="n"/>
      <c r="C13" s="16">
        <f>IF(B13="","",IFERROR(VLOOKUP(B13,'System Inventory'!A:B,2,FALSE),"Not Found"))</f>
        <v/>
      </c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6">
        <f>IF(B14&lt;&gt;"","GAP-"&amp;TEXT(ROW()-8,"000"),"")</f>
        <v/>
      </c>
      <c r="B14" s="5" t="n"/>
      <c r="C14" s="16">
        <f>IF(B14="","",IFERROR(VLOOKUP(B14,'System Inventory'!A:B,2,FALSE),"Not Found"))</f>
        <v/>
      </c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6">
        <f>IF(B15&lt;&gt;"","GAP-"&amp;TEXT(ROW()-8,"000"),"")</f>
        <v/>
      </c>
      <c r="B15" s="5" t="n"/>
      <c r="C15" s="16">
        <f>IF(B15="","",IFERROR(VLOOKUP(B15,'System Inventory'!A:B,2,FALSE),"Not Found"))</f>
        <v/>
      </c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6">
        <f>IF(B16&lt;&gt;"","GAP-"&amp;TEXT(ROW()-8,"000"),"")</f>
        <v/>
      </c>
      <c r="B16" s="5" t="n"/>
      <c r="C16" s="16">
        <f>IF(B16="","",IFERROR(VLOOKUP(B16,'System Inventory'!A:B,2,FALSE),"Not Found"))</f>
        <v/>
      </c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6">
        <f>IF(B17&lt;&gt;"","GAP-"&amp;TEXT(ROW()-8,"000"),"")</f>
        <v/>
      </c>
      <c r="B17" s="5" t="n"/>
      <c r="C17" s="16">
        <f>IF(B17="","",IFERROR(VLOOKUP(B17,'System Inventory'!A:B,2,FALSE),"Not Found"))</f>
        <v/>
      </c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6">
        <f>IF(B18&lt;&gt;"","GAP-"&amp;TEXT(ROW()-8,"000"),"")</f>
        <v/>
      </c>
      <c r="B18" s="5" t="n"/>
      <c r="C18" s="16">
        <f>IF(B18="","",IFERROR(VLOOKUP(B18,'System Inventory'!A:B,2,FALSE),"Not Found"))</f>
        <v/>
      </c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6">
        <f>IF(B19&lt;&gt;"","GAP-"&amp;TEXT(ROW()-8,"000"),"")</f>
        <v/>
      </c>
      <c r="B19" s="5" t="n"/>
      <c r="C19" s="16">
        <f>IF(B19="","",IFERROR(VLOOKUP(B19,'System Inventory'!A:B,2,FALSE),"Not Found"))</f>
        <v/>
      </c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6">
        <f>IF(B20&lt;&gt;"","GAP-"&amp;TEXT(ROW()-8,"000"),"")</f>
        <v/>
      </c>
      <c r="B20" s="5" t="n"/>
      <c r="C20" s="16">
        <f>IF(B20="","",IFERROR(VLOOKUP(B20,'System Inventory'!A:B,2,FALSE),"Not Found"))</f>
        <v/>
      </c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6">
        <f>IF(B21&lt;&gt;"","GAP-"&amp;TEXT(ROW()-8,"000"),"")</f>
        <v/>
      </c>
      <c r="B21" s="5" t="n"/>
      <c r="C21" s="16">
        <f>IF(B21="","",IFERROR(VLOOKUP(B21,'System Inventory'!A:B,2,FALSE),"Not Found"))</f>
        <v/>
      </c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6">
        <f>IF(B22&lt;&gt;"","GAP-"&amp;TEXT(ROW()-8,"000"),"")</f>
        <v/>
      </c>
      <c r="B22" s="5" t="n"/>
      <c r="C22" s="16">
        <f>IF(B22="","",IFERROR(VLOOKUP(B22,'System Inventory'!A:B,2,FALSE),"Not Found"))</f>
        <v/>
      </c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6">
        <f>IF(B23&lt;&gt;"","GAP-"&amp;TEXT(ROW()-8,"000"),"")</f>
        <v/>
      </c>
      <c r="B23" s="5" t="n"/>
      <c r="C23" s="16">
        <f>IF(B23="","",IFERROR(VLOOKUP(B23,'System Inventory'!A:B,2,FALSE),"Not Found"))</f>
        <v/>
      </c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6">
        <f>IF(B24&lt;&gt;"","GAP-"&amp;TEXT(ROW()-8,"000"),"")</f>
        <v/>
      </c>
      <c r="B24" s="5" t="n"/>
      <c r="C24" s="16">
        <f>IF(B24="","",IFERROR(VLOOKUP(B24,'System Inventory'!A:B,2,FALSE),"Not Found"))</f>
        <v/>
      </c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6">
        <f>IF(B25&lt;&gt;"","GAP-"&amp;TEXT(ROW()-8,"000"),"")</f>
        <v/>
      </c>
      <c r="B25" s="5" t="n"/>
      <c r="C25" s="16">
        <f>IF(B25="","",IFERROR(VLOOKUP(B25,'System Inventory'!A:B,2,FALSE),"Not Found"))</f>
        <v/>
      </c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6">
        <f>IF(B26&lt;&gt;"","GAP-"&amp;TEXT(ROW()-8,"000"),"")</f>
        <v/>
      </c>
      <c r="B26" s="5" t="n"/>
      <c r="C26" s="16">
        <f>IF(B26="","",IFERROR(VLOOKUP(B26,'System Inventory'!A:B,2,FALSE),"Not Found"))</f>
        <v/>
      </c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6">
        <f>IF(B27&lt;&gt;"","GAP-"&amp;TEXT(ROW()-8,"000"),"")</f>
        <v/>
      </c>
      <c r="B27" s="5" t="n"/>
      <c r="C27" s="16">
        <f>IF(B27="","",IFERROR(VLOOKUP(B27,'System Inventory'!A:B,2,FALSE),"Not Found"))</f>
        <v/>
      </c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6">
        <f>IF(B28&lt;&gt;"","GAP-"&amp;TEXT(ROW()-8,"000"),"")</f>
        <v/>
      </c>
      <c r="B28" s="5" t="n"/>
      <c r="C28" s="16">
        <f>IF(B28="","",IFERROR(VLOOKUP(B28,'System Inventory'!A:B,2,FALSE),"Not Found"))</f>
        <v/>
      </c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6">
        <f>IF(B29&lt;&gt;"","GAP-"&amp;TEXT(ROW()-8,"000"),"")</f>
        <v/>
      </c>
      <c r="B29" s="5" t="n"/>
      <c r="C29" s="16">
        <f>IF(B29="","",IFERROR(VLOOKUP(B29,'System Inventory'!A:B,2,FALSE),"Not Found"))</f>
        <v/>
      </c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6">
        <f>IF(B30&lt;&gt;"","GAP-"&amp;TEXT(ROW()-8,"000"),"")</f>
        <v/>
      </c>
      <c r="B30" s="5" t="n"/>
      <c r="C30" s="16">
        <f>IF(B30="","",IFERROR(VLOOKUP(B30,'System Inventory'!A:B,2,FALSE),"Not Found"))</f>
        <v/>
      </c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6">
        <f>IF(B31&lt;&gt;"","GAP-"&amp;TEXT(ROW()-8,"000"),"")</f>
        <v/>
      </c>
      <c r="B31" s="5" t="n"/>
      <c r="C31" s="16">
        <f>IF(B31="","",IFERROR(VLOOKUP(B31,'System Inventory'!A:B,2,FALSE),"Not Found"))</f>
        <v/>
      </c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6">
        <f>IF(B32&lt;&gt;"","GAP-"&amp;TEXT(ROW()-8,"000"),"")</f>
        <v/>
      </c>
      <c r="B32" s="5" t="n"/>
      <c r="C32" s="16">
        <f>IF(B32="","",IFERROR(VLOOKUP(B32,'System Inventory'!A:B,2,FALSE),"Not Found"))</f>
        <v/>
      </c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6">
        <f>IF(B33&lt;&gt;"","GAP-"&amp;TEXT(ROW()-8,"000"),"")</f>
        <v/>
      </c>
      <c r="B33" s="5" t="n"/>
      <c r="C33" s="16">
        <f>IF(B33="","",IFERROR(VLOOKUP(B33,'System Inventory'!A:B,2,FALSE),"Not Found"))</f>
        <v/>
      </c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6">
        <f>IF(B34&lt;&gt;"","GAP-"&amp;TEXT(ROW()-8,"000"),"")</f>
        <v/>
      </c>
      <c r="B34" s="5" t="n"/>
      <c r="C34" s="16">
        <f>IF(B34="","",IFERROR(VLOOKUP(B34,'System Inventory'!A:B,2,FALSE),"Not Found"))</f>
        <v/>
      </c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6">
        <f>IF(B35&lt;&gt;"","GAP-"&amp;TEXT(ROW()-8,"000"),"")</f>
        <v/>
      </c>
      <c r="B35" s="5" t="n"/>
      <c r="C35" s="16">
        <f>IF(B35="","",IFERROR(VLOOKUP(B35,'System Inventory'!A:B,2,FALSE),"Not Found"))</f>
        <v/>
      </c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6">
        <f>IF(B36&lt;&gt;"","GAP-"&amp;TEXT(ROW()-8,"000"),"")</f>
        <v/>
      </c>
      <c r="B36" s="5" t="n"/>
      <c r="C36" s="16">
        <f>IF(B36="","",IFERROR(VLOOKUP(B36,'System Inventory'!A:B,2,FALSE),"Not Found"))</f>
        <v/>
      </c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6">
        <f>IF(B37&lt;&gt;"","GAP-"&amp;TEXT(ROW()-8,"000"),"")</f>
        <v/>
      </c>
      <c r="B37" s="5" t="n"/>
      <c r="C37" s="16">
        <f>IF(B37="","",IFERROR(VLOOKUP(B37,'System Inventory'!A:B,2,FALSE),"Not Found"))</f>
        <v/>
      </c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6">
        <f>IF(B38&lt;&gt;"","GAP-"&amp;TEXT(ROW()-8,"000"),"")</f>
        <v/>
      </c>
      <c r="B38" s="5" t="n"/>
      <c r="C38" s="16">
        <f>IF(B38="","",IFERROR(VLOOKUP(B38,'System Inventory'!A:B,2,FALSE),"Not Found"))</f>
        <v/>
      </c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6">
        <f>IF(B39&lt;&gt;"","GAP-"&amp;TEXT(ROW()-8,"000"),"")</f>
        <v/>
      </c>
      <c r="B39" s="5" t="n"/>
      <c r="C39" s="16">
        <f>IF(B39="","",IFERROR(VLOOKUP(B39,'System Inventory'!A:B,2,FALSE),"Not Found"))</f>
        <v/>
      </c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6">
        <f>IF(B40&lt;&gt;"","GAP-"&amp;TEXT(ROW()-8,"000"),"")</f>
        <v/>
      </c>
      <c r="B40" s="5" t="n"/>
      <c r="C40" s="16">
        <f>IF(B40="","",IFERROR(VLOOKUP(B40,'System Inventory'!A:B,2,FALSE),"Not Found"))</f>
        <v/>
      </c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6">
        <f>IF(B41&lt;&gt;"","GAP-"&amp;TEXT(ROW()-8,"000"),"")</f>
        <v/>
      </c>
      <c r="B41" s="5" t="n"/>
      <c r="C41" s="16">
        <f>IF(B41="","",IFERROR(VLOOKUP(B41,'System Inventory'!A:B,2,FALSE),"Not Found"))</f>
        <v/>
      </c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6">
        <f>IF(B42&lt;&gt;"","GAP-"&amp;TEXT(ROW()-8,"000"),"")</f>
        <v/>
      </c>
      <c r="B42" s="5" t="n"/>
      <c r="C42" s="16">
        <f>IF(B42="","",IFERROR(VLOOKUP(B42,'System Inventory'!A:B,2,FALSE),"Not Found"))</f>
        <v/>
      </c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6">
        <f>IF(B43&lt;&gt;"","GAP-"&amp;TEXT(ROW()-8,"000"),"")</f>
        <v/>
      </c>
      <c r="B43" s="5" t="n"/>
      <c r="C43" s="16">
        <f>IF(B43="","",IFERROR(VLOOKUP(B43,'System Inventory'!A:B,2,FALSE),"Not Found"))</f>
        <v/>
      </c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6">
        <f>IF(B44&lt;&gt;"","GAP-"&amp;TEXT(ROW()-8,"000"),"")</f>
        <v/>
      </c>
      <c r="B44" s="5" t="n"/>
      <c r="C44" s="16">
        <f>IF(B44="","",IFERROR(VLOOKUP(B44,'System Inventory'!A:B,2,FALSE),"Not Found"))</f>
        <v/>
      </c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6">
        <f>IF(B45&lt;&gt;"","GAP-"&amp;TEXT(ROW()-8,"000"),"")</f>
        <v/>
      </c>
      <c r="B45" s="5" t="n"/>
      <c r="C45" s="16">
        <f>IF(B45="","",IFERROR(VLOOKUP(B45,'System Inventory'!A:B,2,FALSE),"Not Found"))</f>
        <v/>
      </c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6">
        <f>IF(B46&lt;&gt;"","GAP-"&amp;TEXT(ROW()-8,"000"),"")</f>
        <v/>
      </c>
      <c r="B46" s="5" t="n"/>
      <c r="C46" s="16">
        <f>IF(B46="","",IFERROR(VLOOKUP(B46,'System Inventory'!A:B,2,FALSE),"Not Found"))</f>
        <v/>
      </c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6">
        <f>IF(B47&lt;&gt;"","GAP-"&amp;TEXT(ROW()-8,"000"),"")</f>
        <v/>
      </c>
      <c r="B47" s="5" t="n"/>
      <c r="C47" s="16">
        <f>IF(B47="","",IFERROR(VLOOKUP(B47,'System Inventory'!A:B,2,FALSE),"Not Found"))</f>
        <v/>
      </c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6">
        <f>IF(B48&lt;&gt;"","GAP-"&amp;TEXT(ROW()-8,"000"),"")</f>
        <v/>
      </c>
      <c r="B48" s="5" t="n"/>
      <c r="C48" s="16">
        <f>IF(B48="","",IFERROR(VLOOKUP(B48,'System Inventory'!A:B,2,FALSE),"Not Found"))</f>
        <v/>
      </c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6">
        <f>IF(B49&lt;&gt;"","GAP-"&amp;TEXT(ROW()-8,"000"),"")</f>
        <v/>
      </c>
      <c r="B49" s="5" t="n"/>
      <c r="C49" s="16">
        <f>IF(B49="","",IFERROR(VLOOKUP(B49,'System Inventory'!A:B,2,FALSE),"Not Found"))</f>
        <v/>
      </c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6">
        <f>IF(B50&lt;&gt;"","GAP-"&amp;TEXT(ROW()-8,"000"),"")</f>
        <v/>
      </c>
      <c r="B50" s="5" t="n"/>
      <c r="C50" s="16">
        <f>IF(B50="","",IFERROR(VLOOKUP(B50,'System Inventory'!A:B,2,FALSE),"Not Found"))</f>
        <v/>
      </c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6">
        <f>IF(B51&lt;&gt;"","GAP-"&amp;TEXT(ROW()-8,"000"),"")</f>
        <v/>
      </c>
      <c r="B51" s="5" t="n"/>
      <c r="C51" s="16">
        <f>IF(B51="","",IFERROR(VLOOKUP(B51,'System Inventory'!A:B,2,FALSE),"Not Found"))</f>
        <v/>
      </c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6">
        <f>IF(B52&lt;&gt;"","GAP-"&amp;TEXT(ROW()-8,"000"),"")</f>
        <v/>
      </c>
      <c r="B52" s="5" t="n"/>
      <c r="C52" s="16">
        <f>IF(B52="","",IFERROR(VLOOKUP(B52,'System Inventory'!A:B,2,FALSE),"Not Found"))</f>
        <v/>
      </c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6">
        <f>IF(B53&lt;&gt;"","GAP-"&amp;TEXT(ROW()-8,"000"),"")</f>
        <v/>
      </c>
      <c r="B53" s="5" t="n"/>
      <c r="C53" s="16">
        <f>IF(B53="","",IFERROR(VLOOKUP(B53,'System Inventory'!A:B,2,FALSE),"Not Found"))</f>
        <v/>
      </c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6">
        <f>IF(B54&lt;&gt;"","GAP-"&amp;TEXT(ROW()-8,"000"),"")</f>
        <v/>
      </c>
      <c r="B54" s="5" t="n"/>
      <c r="C54" s="16">
        <f>IF(B54="","",IFERROR(VLOOKUP(B54,'System Inventory'!A:B,2,FALSE),"Not Found"))</f>
        <v/>
      </c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6">
        <f>IF(B55&lt;&gt;"","GAP-"&amp;TEXT(ROW()-8,"000"),"")</f>
        <v/>
      </c>
      <c r="B55" s="5" t="n"/>
      <c r="C55" s="16">
        <f>IF(B55="","",IFERROR(VLOOKUP(B55,'System Inventory'!A:B,2,FALSE),"Not Found"))</f>
        <v/>
      </c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6">
        <f>IF(B56&lt;&gt;"","GAP-"&amp;TEXT(ROW()-8,"000"),"")</f>
        <v/>
      </c>
      <c r="B56" s="5" t="n"/>
      <c r="C56" s="16">
        <f>IF(B56="","",IFERROR(VLOOKUP(B56,'System Inventory'!A:B,2,FALSE),"Not Found"))</f>
        <v/>
      </c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6">
        <f>IF(B57&lt;&gt;"","GAP-"&amp;TEXT(ROW()-8,"000"),"")</f>
        <v/>
      </c>
      <c r="B57" s="5" t="n"/>
      <c r="C57" s="16">
        <f>IF(B57="","",IFERROR(VLOOKUP(B57,'System Inventory'!A:B,2,FALSE),"Not Found"))</f>
        <v/>
      </c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6">
        <f>IF(B58&lt;&gt;"","GAP-"&amp;TEXT(ROW()-8,"000"),"")</f>
        <v/>
      </c>
      <c r="B58" s="5" t="n"/>
      <c r="C58" s="16">
        <f>IF(B58="","",IFERROR(VLOOKUP(B58,'System Inventory'!A:B,2,FALSE),"Not Found"))</f>
        <v/>
      </c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6">
        <f>IF(B59&lt;&gt;"","GAP-"&amp;TEXT(ROW()-8,"000"),"")</f>
        <v/>
      </c>
      <c r="B59" s="5" t="n"/>
      <c r="C59" s="16">
        <f>IF(B59="","",IFERROR(VLOOKUP(B59,'System Inventory'!A:B,2,FALSE),"Not Found"))</f>
        <v/>
      </c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6">
        <f>IF(B60&lt;&gt;"","GAP-"&amp;TEXT(ROW()-8,"000"),"")</f>
        <v/>
      </c>
      <c r="B60" s="5" t="n"/>
      <c r="C60" s="16">
        <f>IF(B60="","",IFERROR(VLOOKUP(B60,'System Inventory'!A:B,2,FALSE),"Not Found"))</f>
        <v/>
      </c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6">
        <f>IF(B61&lt;&gt;"","GAP-"&amp;TEXT(ROW()-8,"000"),"")</f>
        <v/>
      </c>
      <c r="B61" s="5" t="n"/>
      <c r="C61" s="16">
        <f>IF(B61="","",IFERROR(VLOOKUP(B61,'System Inventory'!A:B,2,FALSE),"Not Found"))</f>
        <v/>
      </c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6">
        <f>IF(B62&lt;&gt;"","GAP-"&amp;TEXT(ROW()-8,"000"),"")</f>
        <v/>
      </c>
      <c r="B62" s="5" t="n"/>
      <c r="C62" s="16">
        <f>IF(B62="","",IFERROR(VLOOKUP(B62,'System Inventory'!A:B,2,FALSE),"Not Found"))</f>
        <v/>
      </c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6">
        <f>IF(B63&lt;&gt;"","GAP-"&amp;TEXT(ROW()-8,"000"),"")</f>
        <v/>
      </c>
      <c r="B63" s="5" t="n"/>
      <c r="C63" s="16">
        <f>IF(B63="","",IFERROR(VLOOKUP(B63,'System Inventory'!A:B,2,FALSE),"Not Found"))</f>
        <v/>
      </c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6">
        <f>IF(B64&lt;&gt;"","GAP-"&amp;TEXT(ROW()-8,"000"),"")</f>
        <v/>
      </c>
      <c r="B64" s="5" t="n"/>
      <c r="C64" s="16">
        <f>IF(B64="","",IFERROR(VLOOKUP(B64,'System Inventory'!A:B,2,FALSE),"Not Found"))</f>
        <v/>
      </c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6">
        <f>IF(B65&lt;&gt;"","GAP-"&amp;TEXT(ROW()-8,"000"),"")</f>
        <v/>
      </c>
      <c r="B65" s="5" t="n"/>
      <c r="C65" s="16">
        <f>IF(B65="","",IFERROR(VLOOKUP(B65,'System Inventory'!A:B,2,FALSE),"Not Found"))</f>
        <v/>
      </c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6">
        <f>IF(B66&lt;&gt;"","GAP-"&amp;TEXT(ROW()-8,"000"),"")</f>
        <v/>
      </c>
      <c r="B66" s="5" t="n"/>
      <c r="C66" s="16">
        <f>IF(B66="","",IFERROR(VLOOKUP(B66,'System Inventory'!A:B,2,FALSE),"Not Found"))</f>
        <v/>
      </c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6">
        <f>IF(B67&lt;&gt;"","GAP-"&amp;TEXT(ROW()-8,"000"),"")</f>
        <v/>
      </c>
      <c r="B67" s="5" t="n"/>
      <c r="C67" s="16">
        <f>IF(B67="","",IFERROR(VLOOKUP(B67,'System Inventory'!A:B,2,FALSE),"Not Found"))</f>
        <v/>
      </c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6">
        <f>IF(B68&lt;&gt;"","GAP-"&amp;TEXT(ROW()-8,"000"),"")</f>
        <v/>
      </c>
      <c r="B68" s="5" t="n"/>
      <c r="C68" s="16">
        <f>IF(B68="","",IFERROR(VLOOKUP(B68,'System Inventory'!A:B,2,FALSE),"Not Found"))</f>
        <v/>
      </c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6">
        <f>IF(B69&lt;&gt;"","GAP-"&amp;TEXT(ROW()-8,"000"),"")</f>
        <v/>
      </c>
      <c r="B69" s="5" t="n"/>
      <c r="C69" s="16">
        <f>IF(B69="","",IFERROR(VLOOKUP(B69,'System Inventory'!A:B,2,FALSE),"Not Found"))</f>
        <v/>
      </c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6">
        <f>IF(B70&lt;&gt;"","GAP-"&amp;TEXT(ROW()-8,"000"),"")</f>
        <v/>
      </c>
      <c r="B70" s="5" t="n"/>
      <c r="C70" s="16">
        <f>IF(B70="","",IFERROR(VLOOKUP(B70,'System Inventory'!A:B,2,FALSE),"Not Found"))</f>
        <v/>
      </c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6">
        <f>IF(B71&lt;&gt;"","GAP-"&amp;TEXT(ROW()-8,"000"),"")</f>
        <v/>
      </c>
      <c r="B71" s="5" t="n"/>
      <c r="C71" s="16">
        <f>IF(B71="","",IFERROR(VLOOKUP(B71,'System Inventory'!A:B,2,FALSE),"Not Found"))</f>
        <v/>
      </c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6">
        <f>IF(B72&lt;&gt;"","GAP-"&amp;TEXT(ROW()-8,"000"),"")</f>
        <v/>
      </c>
      <c r="B72" s="5" t="n"/>
      <c r="C72" s="16">
        <f>IF(B72="","",IFERROR(VLOOKUP(B72,'System Inventory'!A:B,2,FALSE),"Not Found"))</f>
        <v/>
      </c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6">
        <f>IF(B73&lt;&gt;"","GAP-"&amp;TEXT(ROW()-8,"000"),"")</f>
        <v/>
      </c>
      <c r="B73" s="5" t="n"/>
      <c r="C73" s="16">
        <f>IF(B73="","",IFERROR(VLOOKUP(B73,'System Inventory'!A:B,2,FALSE),"Not Found"))</f>
        <v/>
      </c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6">
        <f>IF(B74&lt;&gt;"","GAP-"&amp;TEXT(ROW()-8,"000"),"")</f>
        <v/>
      </c>
      <c r="B74" s="5" t="n"/>
      <c r="C74" s="16">
        <f>IF(B74="","",IFERROR(VLOOKUP(B74,'System Inventory'!A:B,2,FALSE),"Not Found"))</f>
        <v/>
      </c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6">
        <f>IF(B75&lt;&gt;"","GAP-"&amp;TEXT(ROW()-8,"000"),"")</f>
        <v/>
      </c>
      <c r="B75" s="5" t="n"/>
      <c r="C75" s="16">
        <f>IF(B75="","",IFERROR(VLOOKUP(B75,'System Inventory'!A:B,2,FALSE),"Not Found"))</f>
        <v/>
      </c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6">
        <f>IF(B76&lt;&gt;"","GAP-"&amp;TEXT(ROW()-8,"000"),"")</f>
        <v/>
      </c>
      <c r="B76" s="5" t="n"/>
      <c r="C76" s="16">
        <f>IF(B76="","",IFERROR(VLOOKUP(B76,'System Inventory'!A:B,2,FALSE),"Not Found"))</f>
        <v/>
      </c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6">
        <f>IF(B77&lt;&gt;"","GAP-"&amp;TEXT(ROW()-8,"000"),"")</f>
        <v/>
      </c>
      <c r="B77" s="5" t="n"/>
      <c r="C77" s="16">
        <f>IF(B77="","",IFERROR(VLOOKUP(B77,'System Inventory'!A:B,2,FALSE),"Not Found"))</f>
        <v/>
      </c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6">
        <f>IF(B78&lt;&gt;"","GAP-"&amp;TEXT(ROW()-8,"000"),"")</f>
        <v/>
      </c>
      <c r="B78" s="5" t="n"/>
      <c r="C78" s="16">
        <f>IF(B78="","",IFERROR(VLOOKUP(B78,'System Inventory'!A:B,2,FALSE),"Not Found"))</f>
        <v/>
      </c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6">
        <f>IF(B79&lt;&gt;"","GAP-"&amp;TEXT(ROW()-8,"000"),"")</f>
        <v/>
      </c>
      <c r="B79" s="5" t="n"/>
      <c r="C79" s="16">
        <f>IF(B79="","",IFERROR(VLOOKUP(B79,'System Inventory'!A:B,2,FALSE),"Not Found"))</f>
        <v/>
      </c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6">
        <f>IF(B80&lt;&gt;"","GAP-"&amp;TEXT(ROW()-8,"000"),"")</f>
        <v/>
      </c>
      <c r="B80" s="5" t="n"/>
      <c r="C80" s="16">
        <f>IF(B80="","",IFERROR(VLOOKUP(B80,'System Inventory'!A:B,2,FALSE),"Not Found"))</f>
        <v/>
      </c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6">
        <f>IF(B81&lt;&gt;"","GAP-"&amp;TEXT(ROW()-8,"000"),"")</f>
        <v/>
      </c>
      <c r="B81" s="5" t="n"/>
      <c r="C81" s="16">
        <f>IF(B81="","",IFERROR(VLOOKUP(B81,'System Inventory'!A:B,2,FALSE),"Not Found"))</f>
        <v/>
      </c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6">
        <f>IF(B82&lt;&gt;"","GAP-"&amp;TEXT(ROW()-8,"000"),"")</f>
        <v/>
      </c>
      <c r="B82" s="5" t="n"/>
      <c r="C82" s="16">
        <f>IF(B82="","",IFERROR(VLOOKUP(B82,'System Inventory'!A:B,2,FALSE),"Not Found"))</f>
        <v/>
      </c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6">
        <f>IF(B83&lt;&gt;"","GAP-"&amp;TEXT(ROW()-8,"000"),"")</f>
        <v/>
      </c>
      <c r="B83" s="5" t="n"/>
      <c r="C83" s="16">
        <f>IF(B83="","",IFERROR(VLOOKUP(B83,'System Inventory'!A:B,2,FALSE),"Not Found"))</f>
        <v/>
      </c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6">
        <f>IF(B84&lt;&gt;"","GAP-"&amp;TEXT(ROW()-8,"000"),"")</f>
        <v/>
      </c>
      <c r="B84" s="5" t="n"/>
      <c r="C84" s="16">
        <f>IF(B84="","",IFERROR(VLOOKUP(B84,'System Inventory'!A:B,2,FALSE),"Not Found"))</f>
        <v/>
      </c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6">
        <f>IF(B85&lt;&gt;"","GAP-"&amp;TEXT(ROW()-8,"000"),"")</f>
        <v/>
      </c>
      <c r="B85" s="5" t="n"/>
      <c r="C85" s="16">
        <f>IF(B85="","",IFERROR(VLOOKUP(B85,'System Inventory'!A:B,2,FALSE),"Not Found"))</f>
        <v/>
      </c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6">
        <f>IF(B86&lt;&gt;"","GAP-"&amp;TEXT(ROW()-8,"000"),"")</f>
        <v/>
      </c>
      <c r="B86" s="5" t="n"/>
      <c r="C86" s="16">
        <f>IF(B86="","",IFERROR(VLOOKUP(B86,'System Inventory'!A:B,2,FALSE),"Not Found"))</f>
        <v/>
      </c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6">
        <f>IF(B87&lt;&gt;"","GAP-"&amp;TEXT(ROW()-8,"000"),"")</f>
        <v/>
      </c>
      <c r="B87" s="5" t="n"/>
      <c r="C87" s="16">
        <f>IF(B87="","",IFERROR(VLOOKUP(B87,'System Inventory'!A:B,2,FALSE),"Not Found"))</f>
        <v/>
      </c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6">
        <f>IF(B88&lt;&gt;"","GAP-"&amp;TEXT(ROW()-8,"000"),"")</f>
        <v/>
      </c>
      <c r="B88" s="5" t="n"/>
      <c r="C88" s="16">
        <f>IF(B88="","",IFERROR(VLOOKUP(B88,'System Inventory'!A:B,2,FALSE),"Not Found"))</f>
        <v/>
      </c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6">
        <f>IF(B89&lt;&gt;"","GAP-"&amp;TEXT(ROW()-8,"000"),"")</f>
        <v/>
      </c>
      <c r="B89" s="5" t="n"/>
      <c r="C89" s="16">
        <f>IF(B89="","",IFERROR(VLOOKUP(B89,'System Inventory'!A:B,2,FALSE),"Not Found"))</f>
        <v/>
      </c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6">
        <f>IF(B90&lt;&gt;"","GAP-"&amp;TEXT(ROW()-8,"000"),"")</f>
        <v/>
      </c>
      <c r="B90" s="5" t="n"/>
      <c r="C90" s="16">
        <f>IF(B90="","",IFERROR(VLOOKUP(B90,'System Inventory'!A:B,2,FALSE),"Not Found"))</f>
        <v/>
      </c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6">
        <f>IF(B91&lt;&gt;"","GAP-"&amp;TEXT(ROW()-8,"000"),"")</f>
        <v/>
      </c>
      <c r="B91" s="5" t="n"/>
      <c r="C91" s="16">
        <f>IF(B91="","",IFERROR(VLOOKUP(B91,'System Inventory'!A:B,2,FALSE),"Not Found"))</f>
        <v/>
      </c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6">
        <f>IF(B92&lt;&gt;"","GAP-"&amp;TEXT(ROW()-8,"000"),"")</f>
        <v/>
      </c>
      <c r="B92" s="5" t="n"/>
      <c r="C92" s="16">
        <f>IF(B92="","",IFERROR(VLOOKUP(B92,'System Inventory'!A:B,2,FALSE),"Not Found"))</f>
        <v/>
      </c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6">
        <f>IF(B93&lt;&gt;"","GAP-"&amp;TEXT(ROW()-8,"000"),"")</f>
        <v/>
      </c>
      <c r="B93" s="5" t="n"/>
      <c r="C93" s="16">
        <f>IF(B93="","",IFERROR(VLOOKUP(B93,'System Inventory'!A:B,2,FALSE),"Not Found"))</f>
        <v/>
      </c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6">
        <f>IF(B94&lt;&gt;"","GAP-"&amp;TEXT(ROW()-8,"000"),"")</f>
        <v/>
      </c>
      <c r="B94" s="5" t="n"/>
      <c r="C94" s="16">
        <f>IF(B94="","",IFERROR(VLOOKUP(B94,'System Inventory'!A:B,2,FALSE),"Not Found"))</f>
        <v/>
      </c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6">
        <f>IF(B95&lt;&gt;"","GAP-"&amp;TEXT(ROW()-8,"000"),"")</f>
        <v/>
      </c>
      <c r="B95" s="5" t="n"/>
      <c r="C95" s="16">
        <f>IF(B95="","",IFERROR(VLOOKUP(B95,'System Inventory'!A:B,2,FALSE),"Not Found"))</f>
        <v/>
      </c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6">
        <f>IF(B96&lt;&gt;"","GAP-"&amp;TEXT(ROW()-8,"000"),"")</f>
        <v/>
      </c>
      <c r="B96" s="5" t="n"/>
      <c r="C96" s="16">
        <f>IF(B96="","",IFERROR(VLOOKUP(B96,'System Inventory'!A:B,2,FALSE),"Not Found"))</f>
        <v/>
      </c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6">
        <f>IF(B97&lt;&gt;"","GAP-"&amp;TEXT(ROW()-8,"000"),"")</f>
        <v/>
      </c>
      <c r="B97" s="5" t="n"/>
      <c r="C97" s="16">
        <f>IF(B97="","",IFERROR(VLOOKUP(B97,'System Inventory'!A:B,2,FALSE),"Not Found"))</f>
        <v/>
      </c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6">
        <f>IF(B98&lt;&gt;"","GAP-"&amp;TEXT(ROW()-8,"000"),"")</f>
        <v/>
      </c>
      <c r="B98" s="5" t="n"/>
      <c r="C98" s="16">
        <f>IF(B98="","",IFERROR(VLOOKUP(B98,'System Inventory'!A:B,2,FALSE),"Not Found"))</f>
        <v/>
      </c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6">
        <f>IF(B99&lt;&gt;"","GAP-"&amp;TEXT(ROW()-8,"000"),"")</f>
        <v/>
      </c>
      <c r="B99" s="5" t="n"/>
      <c r="C99" s="16">
        <f>IF(B99="","",IFERROR(VLOOKUP(B99,'System Inventory'!A:B,2,FALSE),"Not Found"))</f>
        <v/>
      </c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6">
        <f>IF(B100&lt;&gt;"","GAP-"&amp;TEXT(ROW()-8,"000"),"")</f>
        <v/>
      </c>
      <c r="B100" s="5" t="n"/>
      <c r="C100" s="16">
        <f>IF(B100="","",IFERROR(VLOOKUP(B100,'System Inventory'!A:B,2,FALSE),"Not Found"))</f>
        <v/>
      </c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  <row r="105">
      <c r="A105" s="6" t="inlineStr">
        <is>
          <t>GAP SUMMARY STATISTICS</t>
        </is>
      </c>
    </row>
    <row r="107">
      <c r="A107" s="2" t="inlineStr">
        <is>
          <t>Total Gaps Identified:</t>
        </is>
      </c>
      <c r="B107" s="3">
        <f>COUNTA(A9:A100)</f>
        <v/>
      </c>
    </row>
    <row r="108">
      <c r="A108" s="2" t="inlineStr">
        <is>
          <t>Open Gaps:</t>
        </is>
      </c>
      <c r="B108" s="3">
        <f>COUNTIF(K9:K100,"*Open*")</f>
        <v/>
      </c>
    </row>
    <row r="109">
      <c r="A109" s="2" t="inlineStr">
        <is>
          <t>In Progress:</t>
        </is>
      </c>
      <c r="B109" s="3">
        <f>COUNTIF(K9:K100,"*In Progress*")</f>
        <v/>
      </c>
    </row>
    <row r="110">
      <c r="A110" s="2" t="inlineStr">
        <is>
          <t>Resolved:</t>
        </is>
      </c>
      <c r="B110" s="3">
        <f>COUNTIF(K9:K100,"*Resolved*")</f>
        <v/>
      </c>
    </row>
    <row r="111">
      <c r="A111" s="2" t="inlineStr">
        <is>
          <t>Critical Priority:</t>
        </is>
      </c>
      <c r="B111" s="3">
        <f>COUNTIF(G9:G100,"*Critical*")</f>
        <v/>
      </c>
    </row>
    <row r="112">
      <c r="A112" s="2" t="inlineStr">
        <is>
          <t>High Priority:</t>
        </is>
      </c>
      <c r="B112" s="3">
        <f>COUNTIF(G9:G100,"*High*")</f>
        <v/>
      </c>
    </row>
    <row r="113">
      <c r="A113" s="2" t="inlineStr">
        <is>
          <t>Overdue (Past Target Date):</t>
        </is>
      </c>
      <c r="B113" s="3">
        <f>SUMPRODUCT((K9:K100&lt;&gt;"Resolved")*(J9:J100&lt;TODAY())*(J9:J100&lt;&gt;""))</f>
        <v/>
      </c>
    </row>
  </sheetData>
  <mergeCells count="3">
    <mergeCell ref="A2:L2"/>
    <mergeCell ref="A105:L105"/>
    <mergeCell ref="A1:L1"/>
  </mergeCells>
  <conditionalFormatting sqref="G9:G100">
    <cfRule type="cellIs" priority="1" operator="equal" dxfId="2" stopIfTrue="1">
      <formula>"Critical"</formula>
    </cfRule>
    <cfRule type="cellIs" priority="2" operator="equal" dxfId="3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9:K100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4" stopIfTrue="1">
      <formula>"Deferred"</formula>
    </cfRule>
  </conditionalFormatting>
  <conditionalFormatting sqref="J9:J100">
    <cfRule type="expression" priority="9" dxfId="2" stopIfTrue="1">
      <formula>AND(J9&lt;TODAY(),K9&lt;&gt;"Resolved")</formula>
    </cfRule>
  </conditionalFormatting>
  <dataValidations count="3">
    <dataValidation sqref="D9:D100" showDropDown="0" showInputMessage="0" showErrorMessage="0" allowBlank="1" type="list">
      <formula1>"Log Source Missing,Event Type Not Logged,Incomplete Fields,Format Non-Standard,Protection Inadequate,Other"</formula1>
    </dataValidation>
    <dataValidation sqref="G9:G100" showDropDown="0" showInputMessage="0" showErrorMessage="0" allowBlank="1" type="list">
      <formula1>"🔴 Critical,🟡 High,🟢 Medium,⚫ Low"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30" customWidth="1" min="4" max="4"/>
    <col width="25" customWidth="1" min="5" max="5"/>
    <col width="40" customWidth="1" min="6" max="6"/>
    <col width="25" customWidth="1" min="7" max="7"/>
    <col width="15" customWidth="1" min="8" max="8"/>
    <col width="20" customWidth="1" min="9" max="9"/>
    <col width="40" customWidth="1" min="10" max="10"/>
  </cols>
  <sheetData>
    <row r="1" ht="40" customHeight="1">
      <c r="A1" s="1" t="inlineStr">
        <is>
          <t>EVIDENCE REGISTER</t>
        </is>
      </c>
    </row>
    <row r="2" ht="30" customHeight="1">
      <c r="A2" s="6" t="inlineStr">
        <is>
          <t>Register all evidence artifacts collected during assessment. Include log samples, screenshots, configurations, and documentation.</t>
        </is>
      </c>
    </row>
    <row r="7" ht="35" customHeight="1">
      <c r="A7" s="14" t="inlineStr">
        <is>
          <t>Evidence ID</t>
        </is>
      </c>
      <c r="B7" s="14" t="inlineStr">
        <is>
          <t>Evidence Type</t>
        </is>
      </c>
      <c r="C7" s="14" t="inlineStr">
        <is>
          <t>Description</t>
        </is>
      </c>
      <c r="D7" s="14" t="inlineStr">
        <is>
          <t>Related System(s)</t>
        </is>
      </c>
      <c r="E7" s="14" t="inlineStr">
        <is>
          <t>Related Policy Req</t>
        </is>
      </c>
      <c r="F7" s="14" t="inlineStr">
        <is>
          <t>File Name / Location</t>
        </is>
      </c>
      <c r="G7" s="14" t="inlineStr">
        <is>
          <t>Collected By</t>
        </is>
      </c>
      <c r="H7" s="14" t="inlineStr">
        <is>
          <t>Collection Date</t>
        </is>
      </c>
      <c r="I7" s="14" t="inlineStr">
        <is>
          <t>Retention Period</t>
        </is>
      </c>
      <c r="J7" s="14" t="inlineStr">
        <is>
          <t>Notes</t>
        </is>
      </c>
    </row>
    <row r="8">
      <c r="A8" s="15" t="inlineStr">
        <is>
          <t>EVD-001</t>
        </is>
      </c>
      <c r="B8" s="15" t="inlineStr">
        <is>
          <t>Log Sample</t>
        </is>
      </c>
      <c r="C8" s="15" t="inlineStr">
        <is>
          <t>Authentication log sample from web server</t>
        </is>
      </c>
      <c r="D8" s="15" t="inlineStr">
        <is>
          <t>SYS-001 (web-prod-01)</t>
        </is>
      </c>
      <c r="E8" s="15" t="inlineStr">
        <is>
          <t>S2.1.2</t>
        </is>
      </c>
      <c r="F8" s="15" t="inlineStr">
        <is>
          <t>auth_logs_sample_20260106.txt</t>
        </is>
      </c>
      <c r="G8" s="15" t="inlineStr">
        <is>
          <t>SOC Analyst</t>
        </is>
      </c>
      <c r="H8" s="15" t="inlineStr">
        <is>
          <t>06.01.2026</t>
        </is>
      </c>
      <c r="I8" s="15" t="inlineStr">
        <is>
          <t>3 years</t>
        </is>
      </c>
      <c r="J8" s="15" t="inlineStr">
        <is>
          <t>Sample covers 24h period</t>
        </is>
      </c>
    </row>
    <row r="9">
      <c r="A9" s="16">
        <f>IF(B9&lt;&gt;"","EVD-"&amp;TEXT(ROW()-8,"000"),"")</f>
        <v/>
      </c>
      <c r="B9" s="5" t="n"/>
      <c r="C9" s="5" t="n"/>
      <c r="D9" s="5" t="n"/>
      <c r="E9" s="5" t="n"/>
      <c r="F9" s="5" t="n"/>
      <c r="G9" s="5" t="n"/>
      <c r="H9" s="4" t="n"/>
      <c r="I9" s="5" t="n"/>
      <c r="J9" s="5" t="n"/>
    </row>
    <row r="10">
      <c r="A10" s="16">
        <f>IF(B10&lt;&gt;"","EVD-"&amp;TEXT(ROW()-8,"000"),"")</f>
        <v/>
      </c>
      <c r="B10" s="5" t="n"/>
      <c r="C10" s="5" t="n"/>
      <c r="D10" s="5" t="n"/>
      <c r="E10" s="5" t="n"/>
      <c r="F10" s="5" t="n"/>
      <c r="G10" s="5" t="n"/>
      <c r="H10" s="4" t="n"/>
      <c r="I10" s="5" t="n"/>
      <c r="J10" s="5" t="n"/>
    </row>
    <row r="11">
      <c r="A11" s="16">
        <f>IF(B11&lt;&gt;"","EVD-"&amp;TEXT(ROW()-8,"000"),"")</f>
        <v/>
      </c>
      <c r="B11" s="5" t="n"/>
      <c r="C11" s="5" t="n"/>
      <c r="D11" s="5" t="n"/>
      <c r="E11" s="5" t="n"/>
      <c r="F11" s="5" t="n"/>
      <c r="G11" s="5" t="n"/>
      <c r="H11" s="4" t="n"/>
      <c r="I11" s="5" t="n"/>
      <c r="J11" s="5" t="n"/>
    </row>
    <row r="12">
      <c r="A12" s="16">
        <f>IF(B12&lt;&gt;"","EVD-"&amp;TEXT(ROW()-8,"000"),"")</f>
        <v/>
      </c>
      <c r="B12" s="5" t="n"/>
      <c r="C12" s="5" t="n"/>
      <c r="D12" s="5" t="n"/>
      <c r="E12" s="5" t="n"/>
      <c r="F12" s="5" t="n"/>
      <c r="G12" s="5" t="n"/>
      <c r="H12" s="4" t="n"/>
      <c r="I12" s="5" t="n"/>
      <c r="J12" s="5" t="n"/>
    </row>
    <row r="13">
      <c r="A13" s="16">
        <f>IF(B13&lt;&gt;"","EVD-"&amp;TEXT(ROW()-8,"000"),"")</f>
        <v/>
      </c>
      <c r="B13" s="5" t="n"/>
      <c r="C13" s="5" t="n"/>
      <c r="D13" s="5" t="n"/>
      <c r="E13" s="5" t="n"/>
      <c r="F13" s="5" t="n"/>
      <c r="G13" s="5" t="n"/>
      <c r="H13" s="4" t="n"/>
      <c r="I13" s="5" t="n"/>
      <c r="J13" s="5" t="n"/>
    </row>
    <row r="14">
      <c r="A14" s="16">
        <f>IF(B14&lt;&gt;"","EVD-"&amp;TEXT(ROW()-8,"000"),"")</f>
        <v/>
      </c>
      <c r="B14" s="5" t="n"/>
      <c r="C14" s="5" t="n"/>
      <c r="D14" s="5" t="n"/>
      <c r="E14" s="5" t="n"/>
      <c r="F14" s="5" t="n"/>
      <c r="G14" s="5" t="n"/>
      <c r="H14" s="4" t="n"/>
      <c r="I14" s="5" t="n"/>
      <c r="J14" s="5" t="n"/>
    </row>
    <row r="15">
      <c r="A15" s="16">
        <f>IF(B15&lt;&gt;"","EVD-"&amp;TEXT(ROW()-8,"000"),"")</f>
        <v/>
      </c>
      <c r="B15" s="5" t="n"/>
      <c r="C15" s="5" t="n"/>
      <c r="D15" s="5" t="n"/>
      <c r="E15" s="5" t="n"/>
      <c r="F15" s="5" t="n"/>
      <c r="G15" s="5" t="n"/>
      <c r="H15" s="4" t="n"/>
      <c r="I15" s="5" t="n"/>
      <c r="J15" s="5" t="n"/>
    </row>
    <row r="16">
      <c r="A16" s="16">
        <f>IF(B16&lt;&gt;"","EVD-"&amp;TEXT(ROW()-8,"000"),"")</f>
        <v/>
      </c>
      <c r="B16" s="5" t="n"/>
      <c r="C16" s="5" t="n"/>
      <c r="D16" s="5" t="n"/>
      <c r="E16" s="5" t="n"/>
      <c r="F16" s="5" t="n"/>
      <c r="G16" s="5" t="n"/>
      <c r="H16" s="4" t="n"/>
      <c r="I16" s="5" t="n"/>
      <c r="J16" s="5" t="n"/>
    </row>
    <row r="17">
      <c r="A17" s="16">
        <f>IF(B17&lt;&gt;"","EVD-"&amp;TEXT(ROW()-8,"000"),"")</f>
        <v/>
      </c>
      <c r="B17" s="5" t="n"/>
      <c r="C17" s="5" t="n"/>
      <c r="D17" s="5" t="n"/>
      <c r="E17" s="5" t="n"/>
      <c r="F17" s="5" t="n"/>
      <c r="G17" s="5" t="n"/>
      <c r="H17" s="4" t="n"/>
      <c r="I17" s="5" t="n"/>
      <c r="J17" s="5" t="n"/>
    </row>
    <row r="18">
      <c r="A18" s="16">
        <f>IF(B18&lt;&gt;"","EVD-"&amp;TEXT(ROW()-8,"000"),"")</f>
        <v/>
      </c>
      <c r="B18" s="5" t="n"/>
      <c r="C18" s="5" t="n"/>
      <c r="D18" s="5" t="n"/>
      <c r="E18" s="5" t="n"/>
      <c r="F18" s="5" t="n"/>
      <c r="G18" s="5" t="n"/>
      <c r="H18" s="4" t="n"/>
      <c r="I18" s="5" t="n"/>
      <c r="J18" s="5" t="n"/>
    </row>
    <row r="19">
      <c r="A19" s="16">
        <f>IF(B19&lt;&gt;"","EVD-"&amp;TEXT(ROW()-8,"000"),"")</f>
        <v/>
      </c>
      <c r="B19" s="5" t="n"/>
      <c r="C19" s="5" t="n"/>
      <c r="D19" s="5" t="n"/>
      <c r="E19" s="5" t="n"/>
      <c r="F19" s="5" t="n"/>
      <c r="G19" s="5" t="n"/>
      <c r="H19" s="4" t="n"/>
      <c r="I19" s="5" t="n"/>
      <c r="J19" s="5" t="n"/>
    </row>
    <row r="20">
      <c r="A20" s="16">
        <f>IF(B20&lt;&gt;"","EVD-"&amp;TEXT(ROW()-8,"000"),"")</f>
        <v/>
      </c>
      <c r="B20" s="5" t="n"/>
      <c r="C20" s="5" t="n"/>
      <c r="D20" s="5" t="n"/>
      <c r="E20" s="5" t="n"/>
      <c r="F20" s="5" t="n"/>
      <c r="G20" s="5" t="n"/>
      <c r="H20" s="4" t="n"/>
      <c r="I20" s="5" t="n"/>
      <c r="J20" s="5" t="n"/>
    </row>
    <row r="21">
      <c r="A21" s="16">
        <f>IF(B21&lt;&gt;"","EVD-"&amp;TEXT(ROW()-8,"000"),"")</f>
        <v/>
      </c>
      <c r="B21" s="5" t="n"/>
      <c r="C21" s="5" t="n"/>
      <c r="D21" s="5" t="n"/>
      <c r="E21" s="5" t="n"/>
      <c r="F21" s="5" t="n"/>
      <c r="G21" s="5" t="n"/>
      <c r="H21" s="4" t="n"/>
      <c r="I21" s="5" t="n"/>
      <c r="J21" s="5" t="n"/>
    </row>
    <row r="22">
      <c r="A22" s="16">
        <f>IF(B22&lt;&gt;"","EVD-"&amp;TEXT(ROW()-8,"000"),"")</f>
        <v/>
      </c>
      <c r="B22" s="5" t="n"/>
      <c r="C22" s="5" t="n"/>
      <c r="D22" s="5" t="n"/>
      <c r="E22" s="5" t="n"/>
      <c r="F22" s="5" t="n"/>
      <c r="G22" s="5" t="n"/>
      <c r="H22" s="4" t="n"/>
      <c r="I22" s="5" t="n"/>
      <c r="J22" s="5" t="n"/>
    </row>
    <row r="23">
      <c r="A23" s="16">
        <f>IF(B23&lt;&gt;"","EVD-"&amp;TEXT(ROW()-8,"000"),"")</f>
        <v/>
      </c>
      <c r="B23" s="5" t="n"/>
      <c r="C23" s="5" t="n"/>
      <c r="D23" s="5" t="n"/>
      <c r="E23" s="5" t="n"/>
      <c r="F23" s="5" t="n"/>
      <c r="G23" s="5" t="n"/>
      <c r="H23" s="4" t="n"/>
      <c r="I23" s="5" t="n"/>
      <c r="J23" s="5" t="n"/>
    </row>
    <row r="24">
      <c r="A24" s="16">
        <f>IF(B24&lt;&gt;"","EVD-"&amp;TEXT(ROW()-8,"000"),"")</f>
        <v/>
      </c>
      <c r="B24" s="5" t="n"/>
      <c r="C24" s="5" t="n"/>
      <c r="D24" s="5" t="n"/>
      <c r="E24" s="5" t="n"/>
      <c r="F24" s="5" t="n"/>
      <c r="G24" s="5" t="n"/>
      <c r="H24" s="4" t="n"/>
      <c r="I24" s="5" t="n"/>
      <c r="J24" s="5" t="n"/>
    </row>
    <row r="25">
      <c r="A25" s="16">
        <f>IF(B25&lt;&gt;"","EVD-"&amp;TEXT(ROW()-8,"000"),"")</f>
        <v/>
      </c>
      <c r="B25" s="5" t="n"/>
      <c r="C25" s="5" t="n"/>
      <c r="D25" s="5" t="n"/>
      <c r="E25" s="5" t="n"/>
      <c r="F25" s="5" t="n"/>
      <c r="G25" s="5" t="n"/>
      <c r="H25" s="4" t="n"/>
      <c r="I25" s="5" t="n"/>
      <c r="J25" s="5" t="n"/>
    </row>
    <row r="26">
      <c r="A26" s="16">
        <f>IF(B26&lt;&gt;"","EVD-"&amp;TEXT(ROW()-8,"000"),"")</f>
        <v/>
      </c>
      <c r="B26" s="5" t="n"/>
      <c r="C26" s="5" t="n"/>
      <c r="D26" s="5" t="n"/>
      <c r="E26" s="5" t="n"/>
      <c r="F26" s="5" t="n"/>
      <c r="G26" s="5" t="n"/>
      <c r="H26" s="4" t="n"/>
      <c r="I26" s="5" t="n"/>
      <c r="J26" s="5" t="n"/>
    </row>
    <row r="27">
      <c r="A27" s="16">
        <f>IF(B27&lt;&gt;"","EVD-"&amp;TEXT(ROW()-8,"000"),"")</f>
        <v/>
      </c>
      <c r="B27" s="5" t="n"/>
      <c r="C27" s="5" t="n"/>
      <c r="D27" s="5" t="n"/>
      <c r="E27" s="5" t="n"/>
      <c r="F27" s="5" t="n"/>
      <c r="G27" s="5" t="n"/>
      <c r="H27" s="4" t="n"/>
      <c r="I27" s="5" t="n"/>
      <c r="J27" s="5" t="n"/>
    </row>
    <row r="28">
      <c r="A28" s="16">
        <f>IF(B28&lt;&gt;"","EVD-"&amp;TEXT(ROW()-8,"000"),"")</f>
        <v/>
      </c>
      <c r="B28" s="5" t="n"/>
      <c r="C28" s="5" t="n"/>
      <c r="D28" s="5" t="n"/>
      <c r="E28" s="5" t="n"/>
      <c r="F28" s="5" t="n"/>
      <c r="G28" s="5" t="n"/>
      <c r="H28" s="4" t="n"/>
      <c r="I28" s="5" t="n"/>
      <c r="J28" s="5" t="n"/>
    </row>
    <row r="29">
      <c r="A29" s="16">
        <f>IF(B29&lt;&gt;"","EVD-"&amp;TEXT(ROW()-8,"000"),"")</f>
        <v/>
      </c>
      <c r="B29" s="5" t="n"/>
      <c r="C29" s="5" t="n"/>
      <c r="D29" s="5" t="n"/>
      <c r="E29" s="5" t="n"/>
      <c r="F29" s="5" t="n"/>
      <c r="G29" s="5" t="n"/>
      <c r="H29" s="4" t="n"/>
      <c r="I29" s="5" t="n"/>
      <c r="J29" s="5" t="n"/>
    </row>
    <row r="30">
      <c r="A30" s="16">
        <f>IF(B30&lt;&gt;"","EVD-"&amp;TEXT(ROW()-8,"000"),"")</f>
        <v/>
      </c>
      <c r="B30" s="5" t="n"/>
      <c r="C30" s="5" t="n"/>
      <c r="D30" s="5" t="n"/>
      <c r="E30" s="5" t="n"/>
      <c r="F30" s="5" t="n"/>
      <c r="G30" s="5" t="n"/>
      <c r="H30" s="4" t="n"/>
      <c r="I30" s="5" t="n"/>
      <c r="J30" s="5" t="n"/>
    </row>
    <row r="31">
      <c r="A31" s="16">
        <f>IF(B31&lt;&gt;"","EVD-"&amp;TEXT(ROW()-8,"000"),"")</f>
        <v/>
      </c>
      <c r="B31" s="5" t="n"/>
      <c r="C31" s="5" t="n"/>
      <c r="D31" s="5" t="n"/>
      <c r="E31" s="5" t="n"/>
      <c r="F31" s="5" t="n"/>
      <c r="G31" s="5" t="n"/>
      <c r="H31" s="4" t="n"/>
      <c r="I31" s="5" t="n"/>
      <c r="J31" s="5" t="n"/>
    </row>
    <row r="32">
      <c r="A32" s="16">
        <f>IF(B32&lt;&gt;"","EVD-"&amp;TEXT(ROW()-8,"000"),"")</f>
        <v/>
      </c>
      <c r="B32" s="5" t="n"/>
      <c r="C32" s="5" t="n"/>
      <c r="D32" s="5" t="n"/>
      <c r="E32" s="5" t="n"/>
      <c r="F32" s="5" t="n"/>
      <c r="G32" s="5" t="n"/>
      <c r="H32" s="4" t="n"/>
      <c r="I32" s="5" t="n"/>
      <c r="J32" s="5" t="n"/>
    </row>
    <row r="33">
      <c r="A33" s="16">
        <f>IF(B33&lt;&gt;"","EVD-"&amp;TEXT(ROW()-8,"000"),"")</f>
        <v/>
      </c>
      <c r="B33" s="5" t="n"/>
      <c r="C33" s="5" t="n"/>
      <c r="D33" s="5" t="n"/>
      <c r="E33" s="5" t="n"/>
      <c r="F33" s="5" t="n"/>
      <c r="G33" s="5" t="n"/>
      <c r="H33" s="4" t="n"/>
      <c r="I33" s="5" t="n"/>
      <c r="J33" s="5" t="n"/>
    </row>
    <row r="34">
      <c r="A34" s="16">
        <f>IF(B34&lt;&gt;"","EVD-"&amp;TEXT(ROW()-8,"000"),"")</f>
        <v/>
      </c>
      <c r="B34" s="5" t="n"/>
      <c r="C34" s="5" t="n"/>
      <c r="D34" s="5" t="n"/>
      <c r="E34" s="5" t="n"/>
      <c r="F34" s="5" t="n"/>
      <c r="G34" s="5" t="n"/>
      <c r="H34" s="4" t="n"/>
      <c r="I34" s="5" t="n"/>
      <c r="J34" s="5" t="n"/>
    </row>
    <row r="35">
      <c r="A35" s="16">
        <f>IF(B35&lt;&gt;"","EVD-"&amp;TEXT(ROW()-8,"000"),"")</f>
        <v/>
      </c>
      <c r="B35" s="5" t="n"/>
      <c r="C35" s="5" t="n"/>
      <c r="D35" s="5" t="n"/>
      <c r="E35" s="5" t="n"/>
      <c r="F35" s="5" t="n"/>
      <c r="G35" s="5" t="n"/>
      <c r="H35" s="4" t="n"/>
      <c r="I35" s="5" t="n"/>
      <c r="J35" s="5" t="n"/>
    </row>
    <row r="36">
      <c r="A36" s="16">
        <f>IF(B36&lt;&gt;"","EVD-"&amp;TEXT(ROW()-8,"000"),"")</f>
        <v/>
      </c>
      <c r="B36" s="5" t="n"/>
      <c r="C36" s="5" t="n"/>
      <c r="D36" s="5" t="n"/>
      <c r="E36" s="5" t="n"/>
      <c r="F36" s="5" t="n"/>
      <c r="G36" s="5" t="n"/>
      <c r="H36" s="4" t="n"/>
      <c r="I36" s="5" t="n"/>
      <c r="J36" s="5" t="n"/>
    </row>
    <row r="37">
      <c r="A37" s="16">
        <f>IF(B37&lt;&gt;"","EVD-"&amp;TEXT(ROW()-8,"000"),"")</f>
        <v/>
      </c>
      <c r="B37" s="5" t="n"/>
      <c r="C37" s="5" t="n"/>
      <c r="D37" s="5" t="n"/>
      <c r="E37" s="5" t="n"/>
      <c r="F37" s="5" t="n"/>
      <c r="G37" s="5" t="n"/>
      <c r="H37" s="4" t="n"/>
      <c r="I37" s="5" t="n"/>
      <c r="J37" s="5" t="n"/>
    </row>
    <row r="38">
      <c r="A38" s="16">
        <f>IF(B38&lt;&gt;"","EVD-"&amp;TEXT(ROW()-8,"000"),"")</f>
        <v/>
      </c>
      <c r="B38" s="5" t="n"/>
      <c r="C38" s="5" t="n"/>
      <c r="D38" s="5" t="n"/>
      <c r="E38" s="5" t="n"/>
      <c r="F38" s="5" t="n"/>
      <c r="G38" s="5" t="n"/>
      <c r="H38" s="4" t="n"/>
      <c r="I38" s="5" t="n"/>
      <c r="J38" s="5" t="n"/>
    </row>
    <row r="39">
      <c r="A39" s="16">
        <f>IF(B39&lt;&gt;"","EVD-"&amp;TEXT(ROW()-8,"000"),"")</f>
        <v/>
      </c>
      <c r="B39" s="5" t="n"/>
      <c r="C39" s="5" t="n"/>
      <c r="D39" s="5" t="n"/>
      <c r="E39" s="5" t="n"/>
      <c r="F39" s="5" t="n"/>
      <c r="G39" s="5" t="n"/>
      <c r="H39" s="4" t="n"/>
      <c r="I39" s="5" t="n"/>
      <c r="J39" s="5" t="n"/>
    </row>
    <row r="40">
      <c r="A40" s="16">
        <f>IF(B40&lt;&gt;"","EVD-"&amp;TEXT(ROW()-8,"000"),"")</f>
        <v/>
      </c>
      <c r="B40" s="5" t="n"/>
      <c r="C40" s="5" t="n"/>
      <c r="D40" s="5" t="n"/>
      <c r="E40" s="5" t="n"/>
      <c r="F40" s="5" t="n"/>
      <c r="G40" s="5" t="n"/>
      <c r="H40" s="4" t="n"/>
      <c r="I40" s="5" t="n"/>
      <c r="J40" s="5" t="n"/>
    </row>
    <row r="41">
      <c r="A41" s="16">
        <f>IF(B41&lt;&gt;"","EVD-"&amp;TEXT(ROW()-8,"000"),"")</f>
        <v/>
      </c>
      <c r="B41" s="5" t="n"/>
      <c r="C41" s="5" t="n"/>
      <c r="D41" s="5" t="n"/>
      <c r="E41" s="5" t="n"/>
      <c r="F41" s="5" t="n"/>
      <c r="G41" s="5" t="n"/>
      <c r="H41" s="4" t="n"/>
      <c r="I41" s="5" t="n"/>
      <c r="J41" s="5" t="n"/>
    </row>
    <row r="42">
      <c r="A42" s="16">
        <f>IF(B42&lt;&gt;"","EVD-"&amp;TEXT(ROW()-8,"000"),"")</f>
        <v/>
      </c>
      <c r="B42" s="5" t="n"/>
      <c r="C42" s="5" t="n"/>
      <c r="D42" s="5" t="n"/>
      <c r="E42" s="5" t="n"/>
      <c r="F42" s="5" t="n"/>
      <c r="G42" s="5" t="n"/>
      <c r="H42" s="4" t="n"/>
      <c r="I42" s="5" t="n"/>
      <c r="J42" s="5" t="n"/>
    </row>
    <row r="43">
      <c r="A43" s="16">
        <f>IF(B43&lt;&gt;"","EVD-"&amp;TEXT(ROW()-8,"000"),"")</f>
        <v/>
      </c>
      <c r="B43" s="5" t="n"/>
      <c r="C43" s="5" t="n"/>
      <c r="D43" s="5" t="n"/>
      <c r="E43" s="5" t="n"/>
      <c r="F43" s="5" t="n"/>
      <c r="G43" s="5" t="n"/>
      <c r="H43" s="4" t="n"/>
      <c r="I43" s="5" t="n"/>
      <c r="J43" s="5" t="n"/>
    </row>
    <row r="44">
      <c r="A44" s="16">
        <f>IF(B44&lt;&gt;"","EVD-"&amp;TEXT(ROW()-8,"000"),"")</f>
        <v/>
      </c>
      <c r="B44" s="5" t="n"/>
      <c r="C44" s="5" t="n"/>
      <c r="D44" s="5" t="n"/>
      <c r="E44" s="5" t="n"/>
      <c r="F44" s="5" t="n"/>
      <c r="G44" s="5" t="n"/>
      <c r="H44" s="4" t="n"/>
      <c r="I44" s="5" t="n"/>
      <c r="J44" s="5" t="n"/>
    </row>
    <row r="45">
      <c r="A45" s="16">
        <f>IF(B45&lt;&gt;"","EVD-"&amp;TEXT(ROW()-8,"000"),"")</f>
        <v/>
      </c>
      <c r="B45" s="5" t="n"/>
      <c r="C45" s="5" t="n"/>
      <c r="D45" s="5" t="n"/>
      <c r="E45" s="5" t="n"/>
      <c r="F45" s="5" t="n"/>
      <c r="G45" s="5" t="n"/>
      <c r="H45" s="4" t="n"/>
      <c r="I45" s="5" t="n"/>
      <c r="J45" s="5" t="n"/>
    </row>
    <row r="46">
      <c r="A46" s="16">
        <f>IF(B46&lt;&gt;"","EVD-"&amp;TEXT(ROW()-8,"000"),"")</f>
        <v/>
      </c>
      <c r="B46" s="5" t="n"/>
      <c r="C46" s="5" t="n"/>
      <c r="D46" s="5" t="n"/>
      <c r="E46" s="5" t="n"/>
      <c r="F46" s="5" t="n"/>
      <c r="G46" s="5" t="n"/>
      <c r="H46" s="4" t="n"/>
      <c r="I46" s="5" t="n"/>
      <c r="J46" s="5" t="n"/>
    </row>
    <row r="47">
      <c r="A47" s="16">
        <f>IF(B47&lt;&gt;"","EVD-"&amp;TEXT(ROW()-8,"000"),"")</f>
        <v/>
      </c>
      <c r="B47" s="5" t="n"/>
      <c r="C47" s="5" t="n"/>
      <c r="D47" s="5" t="n"/>
      <c r="E47" s="5" t="n"/>
      <c r="F47" s="5" t="n"/>
      <c r="G47" s="5" t="n"/>
      <c r="H47" s="4" t="n"/>
      <c r="I47" s="5" t="n"/>
      <c r="J47" s="5" t="n"/>
    </row>
    <row r="48">
      <c r="A48" s="16">
        <f>IF(B48&lt;&gt;"","EVD-"&amp;TEXT(ROW()-8,"000"),"")</f>
        <v/>
      </c>
      <c r="B48" s="5" t="n"/>
      <c r="C48" s="5" t="n"/>
      <c r="D48" s="5" t="n"/>
      <c r="E48" s="5" t="n"/>
      <c r="F48" s="5" t="n"/>
      <c r="G48" s="5" t="n"/>
      <c r="H48" s="4" t="n"/>
      <c r="I48" s="5" t="n"/>
      <c r="J48" s="5" t="n"/>
    </row>
    <row r="49">
      <c r="A49" s="16">
        <f>IF(B49&lt;&gt;"","EVD-"&amp;TEXT(ROW()-8,"000"),"")</f>
        <v/>
      </c>
      <c r="B49" s="5" t="n"/>
      <c r="C49" s="5" t="n"/>
      <c r="D49" s="5" t="n"/>
      <c r="E49" s="5" t="n"/>
      <c r="F49" s="5" t="n"/>
      <c r="G49" s="5" t="n"/>
      <c r="H49" s="4" t="n"/>
      <c r="I49" s="5" t="n"/>
      <c r="J49" s="5" t="n"/>
    </row>
    <row r="50">
      <c r="A50" s="16">
        <f>IF(B50&lt;&gt;"","EVD-"&amp;TEXT(ROW()-8,"000"),"")</f>
        <v/>
      </c>
      <c r="B50" s="5" t="n"/>
      <c r="C50" s="5" t="n"/>
      <c r="D50" s="5" t="n"/>
      <c r="E50" s="5" t="n"/>
      <c r="F50" s="5" t="n"/>
      <c r="G50" s="5" t="n"/>
      <c r="H50" s="4" t="n"/>
      <c r="I50" s="5" t="n"/>
      <c r="J50" s="5" t="n"/>
    </row>
    <row r="51">
      <c r="A51" s="16">
        <f>IF(B51&lt;&gt;"","EVD-"&amp;TEXT(ROW()-8,"000"),"")</f>
        <v/>
      </c>
      <c r="B51" s="5" t="n"/>
      <c r="C51" s="5" t="n"/>
      <c r="D51" s="5" t="n"/>
      <c r="E51" s="5" t="n"/>
      <c r="F51" s="5" t="n"/>
      <c r="G51" s="5" t="n"/>
      <c r="H51" s="4" t="n"/>
      <c r="I51" s="5" t="n"/>
      <c r="J51" s="5" t="n"/>
    </row>
    <row r="52">
      <c r="A52" s="16">
        <f>IF(B52&lt;&gt;"","EVD-"&amp;TEXT(ROW()-8,"000"),"")</f>
        <v/>
      </c>
      <c r="B52" s="5" t="n"/>
      <c r="C52" s="5" t="n"/>
      <c r="D52" s="5" t="n"/>
      <c r="E52" s="5" t="n"/>
      <c r="F52" s="5" t="n"/>
      <c r="G52" s="5" t="n"/>
      <c r="H52" s="4" t="n"/>
      <c r="I52" s="5" t="n"/>
      <c r="J52" s="5" t="n"/>
    </row>
    <row r="53">
      <c r="A53" s="16">
        <f>IF(B53&lt;&gt;"","EVD-"&amp;TEXT(ROW()-8,"000"),"")</f>
        <v/>
      </c>
      <c r="B53" s="5" t="n"/>
      <c r="C53" s="5" t="n"/>
      <c r="D53" s="5" t="n"/>
      <c r="E53" s="5" t="n"/>
      <c r="F53" s="5" t="n"/>
      <c r="G53" s="5" t="n"/>
      <c r="H53" s="4" t="n"/>
      <c r="I53" s="5" t="n"/>
      <c r="J53" s="5" t="n"/>
    </row>
    <row r="54">
      <c r="A54" s="16">
        <f>IF(B54&lt;&gt;"","EVD-"&amp;TEXT(ROW()-8,"000"),"")</f>
        <v/>
      </c>
      <c r="B54" s="5" t="n"/>
      <c r="C54" s="5" t="n"/>
      <c r="D54" s="5" t="n"/>
      <c r="E54" s="5" t="n"/>
      <c r="F54" s="5" t="n"/>
      <c r="G54" s="5" t="n"/>
      <c r="H54" s="4" t="n"/>
      <c r="I54" s="5" t="n"/>
      <c r="J54" s="5" t="n"/>
    </row>
    <row r="55">
      <c r="A55" s="16">
        <f>IF(B55&lt;&gt;"","EVD-"&amp;TEXT(ROW()-8,"000"),"")</f>
        <v/>
      </c>
      <c r="B55" s="5" t="n"/>
      <c r="C55" s="5" t="n"/>
      <c r="D55" s="5" t="n"/>
      <c r="E55" s="5" t="n"/>
      <c r="F55" s="5" t="n"/>
      <c r="G55" s="5" t="n"/>
      <c r="H55" s="4" t="n"/>
      <c r="I55" s="5" t="n"/>
      <c r="J55" s="5" t="n"/>
    </row>
    <row r="56">
      <c r="A56" s="16">
        <f>IF(B56&lt;&gt;"","EVD-"&amp;TEXT(ROW()-8,"000"),"")</f>
        <v/>
      </c>
      <c r="B56" s="5" t="n"/>
      <c r="C56" s="5" t="n"/>
      <c r="D56" s="5" t="n"/>
      <c r="E56" s="5" t="n"/>
      <c r="F56" s="5" t="n"/>
      <c r="G56" s="5" t="n"/>
      <c r="H56" s="4" t="n"/>
      <c r="I56" s="5" t="n"/>
      <c r="J56" s="5" t="n"/>
    </row>
    <row r="57">
      <c r="A57" s="16">
        <f>IF(B57&lt;&gt;"","EVD-"&amp;TEXT(ROW()-8,"000"),"")</f>
        <v/>
      </c>
      <c r="B57" s="5" t="n"/>
      <c r="C57" s="5" t="n"/>
      <c r="D57" s="5" t="n"/>
      <c r="E57" s="5" t="n"/>
      <c r="F57" s="5" t="n"/>
      <c r="G57" s="5" t="n"/>
      <c r="H57" s="4" t="n"/>
      <c r="I57" s="5" t="n"/>
      <c r="J57" s="5" t="n"/>
    </row>
    <row r="58">
      <c r="A58" s="16">
        <f>IF(B58&lt;&gt;"","EVD-"&amp;TEXT(ROW()-8,"000"),"")</f>
        <v/>
      </c>
      <c r="B58" s="5" t="n"/>
      <c r="C58" s="5" t="n"/>
      <c r="D58" s="5" t="n"/>
      <c r="E58" s="5" t="n"/>
      <c r="F58" s="5" t="n"/>
      <c r="G58" s="5" t="n"/>
      <c r="H58" s="4" t="n"/>
      <c r="I58" s="5" t="n"/>
      <c r="J58" s="5" t="n"/>
    </row>
    <row r="59">
      <c r="A59" s="16">
        <f>IF(B59&lt;&gt;"","EVD-"&amp;TEXT(ROW()-8,"000"),"")</f>
        <v/>
      </c>
      <c r="B59" s="5" t="n"/>
      <c r="C59" s="5" t="n"/>
      <c r="D59" s="5" t="n"/>
      <c r="E59" s="5" t="n"/>
      <c r="F59" s="5" t="n"/>
      <c r="G59" s="5" t="n"/>
      <c r="H59" s="4" t="n"/>
      <c r="I59" s="5" t="n"/>
      <c r="J59" s="5" t="n"/>
    </row>
    <row r="60">
      <c r="A60" s="16">
        <f>IF(B60&lt;&gt;"","EVD-"&amp;TEXT(ROW()-8,"000"),"")</f>
        <v/>
      </c>
      <c r="B60" s="5" t="n"/>
      <c r="C60" s="5" t="n"/>
      <c r="D60" s="5" t="n"/>
      <c r="E60" s="5" t="n"/>
      <c r="F60" s="5" t="n"/>
      <c r="G60" s="5" t="n"/>
      <c r="H60" s="4" t="n"/>
      <c r="I60" s="5" t="n"/>
      <c r="J60" s="5" t="n"/>
    </row>
    <row r="61">
      <c r="A61" s="16">
        <f>IF(B61&lt;&gt;"","EVD-"&amp;TEXT(ROW()-8,"000"),"")</f>
        <v/>
      </c>
      <c r="B61" s="5" t="n"/>
      <c r="C61" s="5" t="n"/>
      <c r="D61" s="5" t="n"/>
      <c r="E61" s="5" t="n"/>
      <c r="F61" s="5" t="n"/>
      <c r="G61" s="5" t="n"/>
      <c r="H61" s="4" t="n"/>
      <c r="I61" s="5" t="n"/>
      <c r="J61" s="5" t="n"/>
    </row>
    <row r="62">
      <c r="A62" s="16">
        <f>IF(B62&lt;&gt;"","EVD-"&amp;TEXT(ROW()-8,"000"),"")</f>
        <v/>
      </c>
      <c r="B62" s="5" t="n"/>
      <c r="C62" s="5" t="n"/>
      <c r="D62" s="5" t="n"/>
      <c r="E62" s="5" t="n"/>
      <c r="F62" s="5" t="n"/>
      <c r="G62" s="5" t="n"/>
      <c r="H62" s="4" t="n"/>
      <c r="I62" s="5" t="n"/>
      <c r="J62" s="5" t="n"/>
    </row>
    <row r="63">
      <c r="A63" s="16">
        <f>IF(B63&lt;&gt;"","EVD-"&amp;TEXT(ROW()-8,"000"),"")</f>
        <v/>
      </c>
      <c r="B63" s="5" t="n"/>
      <c r="C63" s="5" t="n"/>
      <c r="D63" s="5" t="n"/>
      <c r="E63" s="5" t="n"/>
      <c r="F63" s="5" t="n"/>
      <c r="G63" s="5" t="n"/>
      <c r="H63" s="4" t="n"/>
      <c r="I63" s="5" t="n"/>
      <c r="J63" s="5" t="n"/>
    </row>
    <row r="64">
      <c r="A64" s="16">
        <f>IF(B64&lt;&gt;"","EVD-"&amp;TEXT(ROW()-8,"000"),"")</f>
        <v/>
      </c>
      <c r="B64" s="5" t="n"/>
      <c r="C64" s="5" t="n"/>
      <c r="D64" s="5" t="n"/>
      <c r="E64" s="5" t="n"/>
      <c r="F64" s="5" t="n"/>
      <c r="G64" s="5" t="n"/>
      <c r="H64" s="4" t="n"/>
      <c r="I64" s="5" t="n"/>
      <c r="J64" s="5" t="n"/>
    </row>
    <row r="65">
      <c r="A65" s="16">
        <f>IF(B65&lt;&gt;"","EVD-"&amp;TEXT(ROW()-8,"000"),"")</f>
        <v/>
      </c>
      <c r="B65" s="5" t="n"/>
      <c r="C65" s="5" t="n"/>
      <c r="D65" s="5" t="n"/>
      <c r="E65" s="5" t="n"/>
      <c r="F65" s="5" t="n"/>
      <c r="G65" s="5" t="n"/>
      <c r="H65" s="4" t="n"/>
      <c r="I65" s="5" t="n"/>
      <c r="J65" s="5" t="n"/>
    </row>
    <row r="66">
      <c r="A66" s="16">
        <f>IF(B66&lt;&gt;"","EVD-"&amp;TEXT(ROW()-8,"000"),"")</f>
        <v/>
      </c>
      <c r="B66" s="5" t="n"/>
      <c r="C66" s="5" t="n"/>
      <c r="D66" s="5" t="n"/>
      <c r="E66" s="5" t="n"/>
      <c r="F66" s="5" t="n"/>
      <c r="G66" s="5" t="n"/>
      <c r="H66" s="4" t="n"/>
      <c r="I66" s="5" t="n"/>
      <c r="J66" s="5" t="n"/>
    </row>
    <row r="67">
      <c r="A67" s="16">
        <f>IF(B67&lt;&gt;"","EVD-"&amp;TEXT(ROW()-8,"000"),"")</f>
        <v/>
      </c>
      <c r="B67" s="5" t="n"/>
      <c r="C67" s="5" t="n"/>
      <c r="D67" s="5" t="n"/>
      <c r="E67" s="5" t="n"/>
      <c r="F67" s="5" t="n"/>
      <c r="G67" s="5" t="n"/>
      <c r="H67" s="4" t="n"/>
      <c r="I67" s="5" t="n"/>
      <c r="J67" s="5" t="n"/>
    </row>
    <row r="68">
      <c r="A68" s="16">
        <f>IF(B68&lt;&gt;"","EVD-"&amp;TEXT(ROW()-8,"000"),"")</f>
        <v/>
      </c>
      <c r="B68" s="5" t="n"/>
      <c r="C68" s="5" t="n"/>
      <c r="D68" s="5" t="n"/>
      <c r="E68" s="5" t="n"/>
      <c r="F68" s="5" t="n"/>
      <c r="G68" s="5" t="n"/>
      <c r="H68" s="4" t="n"/>
      <c r="I68" s="5" t="n"/>
      <c r="J68" s="5" t="n"/>
    </row>
    <row r="69">
      <c r="A69" s="16">
        <f>IF(B69&lt;&gt;"","EVD-"&amp;TEXT(ROW()-8,"000"),"")</f>
        <v/>
      </c>
      <c r="B69" s="5" t="n"/>
      <c r="C69" s="5" t="n"/>
      <c r="D69" s="5" t="n"/>
      <c r="E69" s="5" t="n"/>
      <c r="F69" s="5" t="n"/>
      <c r="G69" s="5" t="n"/>
      <c r="H69" s="4" t="n"/>
      <c r="I69" s="5" t="n"/>
      <c r="J69" s="5" t="n"/>
    </row>
    <row r="70">
      <c r="A70" s="16">
        <f>IF(B70&lt;&gt;"","EVD-"&amp;TEXT(ROW()-8,"000"),"")</f>
        <v/>
      </c>
      <c r="B70" s="5" t="n"/>
      <c r="C70" s="5" t="n"/>
      <c r="D70" s="5" t="n"/>
      <c r="E70" s="5" t="n"/>
      <c r="F70" s="5" t="n"/>
      <c r="G70" s="5" t="n"/>
      <c r="H70" s="4" t="n"/>
      <c r="I70" s="5" t="n"/>
      <c r="J70" s="5" t="n"/>
    </row>
    <row r="71">
      <c r="A71" s="16">
        <f>IF(B71&lt;&gt;"","EVD-"&amp;TEXT(ROW()-8,"000"),"")</f>
        <v/>
      </c>
      <c r="B71" s="5" t="n"/>
      <c r="C71" s="5" t="n"/>
      <c r="D71" s="5" t="n"/>
      <c r="E71" s="5" t="n"/>
      <c r="F71" s="5" t="n"/>
      <c r="G71" s="5" t="n"/>
      <c r="H71" s="4" t="n"/>
      <c r="I71" s="5" t="n"/>
      <c r="J71" s="5" t="n"/>
    </row>
    <row r="72">
      <c r="A72" s="16">
        <f>IF(B72&lt;&gt;"","EVD-"&amp;TEXT(ROW()-8,"000"),"")</f>
        <v/>
      </c>
      <c r="B72" s="5" t="n"/>
      <c r="C72" s="5" t="n"/>
      <c r="D72" s="5" t="n"/>
      <c r="E72" s="5" t="n"/>
      <c r="F72" s="5" t="n"/>
      <c r="G72" s="5" t="n"/>
      <c r="H72" s="4" t="n"/>
      <c r="I72" s="5" t="n"/>
      <c r="J72" s="5" t="n"/>
    </row>
    <row r="73">
      <c r="A73" s="16">
        <f>IF(B73&lt;&gt;"","EVD-"&amp;TEXT(ROW()-8,"000"),"")</f>
        <v/>
      </c>
      <c r="B73" s="5" t="n"/>
      <c r="C73" s="5" t="n"/>
      <c r="D73" s="5" t="n"/>
      <c r="E73" s="5" t="n"/>
      <c r="F73" s="5" t="n"/>
      <c r="G73" s="5" t="n"/>
      <c r="H73" s="4" t="n"/>
      <c r="I73" s="5" t="n"/>
      <c r="J73" s="5" t="n"/>
    </row>
    <row r="74">
      <c r="A74" s="16">
        <f>IF(B74&lt;&gt;"","EVD-"&amp;TEXT(ROW()-8,"000"),"")</f>
        <v/>
      </c>
      <c r="B74" s="5" t="n"/>
      <c r="C74" s="5" t="n"/>
      <c r="D74" s="5" t="n"/>
      <c r="E74" s="5" t="n"/>
      <c r="F74" s="5" t="n"/>
      <c r="G74" s="5" t="n"/>
      <c r="H74" s="4" t="n"/>
      <c r="I74" s="5" t="n"/>
      <c r="J74" s="5" t="n"/>
    </row>
    <row r="75">
      <c r="A75" s="16">
        <f>IF(B75&lt;&gt;"","EVD-"&amp;TEXT(ROW()-8,"000"),"")</f>
        <v/>
      </c>
      <c r="B75" s="5" t="n"/>
      <c r="C75" s="5" t="n"/>
      <c r="D75" s="5" t="n"/>
      <c r="E75" s="5" t="n"/>
      <c r="F75" s="5" t="n"/>
      <c r="G75" s="5" t="n"/>
      <c r="H75" s="4" t="n"/>
      <c r="I75" s="5" t="n"/>
      <c r="J75" s="5" t="n"/>
    </row>
    <row r="76">
      <c r="A76" s="16">
        <f>IF(B76&lt;&gt;"","EVD-"&amp;TEXT(ROW()-8,"000"),"")</f>
        <v/>
      </c>
      <c r="B76" s="5" t="n"/>
      <c r="C76" s="5" t="n"/>
      <c r="D76" s="5" t="n"/>
      <c r="E76" s="5" t="n"/>
      <c r="F76" s="5" t="n"/>
      <c r="G76" s="5" t="n"/>
      <c r="H76" s="4" t="n"/>
      <c r="I76" s="5" t="n"/>
      <c r="J76" s="5" t="n"/>
    </row>
    <row r="77">
      <c r="A77" s="16">
        <f>IF(B77&lt;&gt;"","EVD-"&amp;TEXT(ROW()-8,"000"),"")</f>
        <v/>
      </c>
      <c r="B77" s="5" t="n"/>
      <c r="C77" s="5" t="n"/>
      <c r="D77" s="5" t="n"/>
      <c r="E77" s="5" t="n"/>
      <c r="F77" s="5" t="n"/>
      <c r="G77" s="5" t="n"/>
      <c r="H77" s="4" t="n"/>
      <c r="I77" s="5" t="n"/>
      <c r="J77" s="5" t="n"/>
    </row>
    <row r="78">
      <c r="A78" s="16">
        <f>IF(B78&lt;&gt;"","EVD-"&amp;TEXT(ROW()-8,"000"),"")</f>
        <v/>
      </c>
      <c r="B78" s="5" t="n"/>
      <c r="C78" s="5" t="n"/>
      <c r="D78" s="5" t="n"/>
      <c r="E78" s="5" t="n"/>
      <c r="F78" s="5" t="n"/>
      <c r="G78" s="5" t="n"/>
      <c r="H78" s="4" t="n"/>
      <c r="I78" s="5" t="n"/>
      <c r="J78" s="5" t="n"/>
    </row>
    <row r="79">
      <c r="A79" s="16">
        <f>IF(B79&lt;&gt;"","EVD-"&amp;TEXT(ROW()-8,"000"),"")</f>
        <v/>
      </c>
      <c r="B79" s="5" t="n"/>
      <c r="C79" s="5" t="n"/>
      <c r="D79" s="5" t="n"/>
      <c r="E79" s="5" t="n"/>
      <c r="F79" s="5" t="n"/>
      <c r="G79" s="5" t="n"/>
      <c r="H79" s="4" t="n"/>
      <c r="I79" s="5" t="n"/>
      <c r="J79" s="5" t="n"/>
    </row>
    <row r="80">
      <c r="A80" s="16">
        <f>IF(B80&lt;&gt;"","EVD-"&amp;TEXT(ROW()-8,"000"),"")</f>
        <v/>
      </c>
      <c r="B80" s="5" t="n"/>
      <c r="C80" s="5" t="n"/>
      <c r="D80" s="5" t="n"/>
      <c r="E80" s="5" t="n"/>
      <c r="F80" s="5" t="n"/>
      <c r="G80" s="5" t="n"/>
      <c r="H80" s="4" t="n"/>
      <c r="I80" s="5" t="n"/>
      <c r="J80" s="5" t="n"/>
    </row>
    <row r="81">
      <c r="A81" s="16">
        <f>IF(B81&lt;&gt;"","EVD-"&amp;TEXT(ROW()-8,"000"),"")</f>
        <v/>
      </c>
      <c r="B81" s="5" t="n"/>
      <c r="C81" s="5" t="n"/>
      <c r="D81" s="5" t="n"/>
      <c r="E81" s="5" t="n"/>
      <c r="F81" s="5" t="n"/>
      <c r="G81" s="5" t="n"/>
      <c r="H81" s="4" t="n"/>
      <c r="I81" s="5" t="n"/>
      <c r="J81" s="5" t="n"/>
    </row>
    <row r="82">
      <c r="A82" s="16">
        <f>IF(B82&lt;&gt;"","EVD-"&amp;TEXT(ROW()-8,"000"),"")</f>
        <v/>
      </c>
      <c r="B82" s="5" t="n"/>
      <c r="C82" s="5" t="n"/>
      <c r="D82" s="5" t="n"/>
      <c r="E82" s="5" t="n"/>
      <c r="F82" s="5" t="n"/>
      <c r="G82" s="5" t="n"/>
      <c r="H82" s="4" t="n"/>
      <c r="I82" s="5" t="n"/>
      <c r="J82" s="5" t="n"/>
    </row>
    <row r="83">
      <c r="A83" s="16">
        <f>IF(B83&lt;&gt;"","EVD-"&amp;TEXT(ROW()-8,"000"),"")</f>
        <v/>
      </c>
      <c r="B83" s="5" t="n"/>
      <c r="C83" s="5" t="n"/>
      <c r="D83" s="5" t="n"/>
      <c r="E83" s="5" t="n"/>
      <c r="F83" s="5" t="n"/>
      <c r="G83" s="5" t="n"/>
      <c r="H83" s="4" t="n"/>
      <c r="I83" s="5" t="n"/>
      <c r="J83" s="5" t="n"/>
    </row>
    <row r="84">
      <c r="A84" s="16">
        <f>IF(B84&lt;&gt;"","EVD-"&amp;TEXT(ROW()-8,"000"),"")</f>
        <v/>
      </c>
      <c r="B84" s="5" t="n"/>
      <c r="C84" s="5" t="n"/>
      <c r="D84" s="5" t="n"/>
      <c r="E84" s="5" t="n"/>
      <c r="F84" s="5" t="n"/>
      <c r="G84" s="5" t="n"/>
      <c r="H84" s="4" t="n"/>
      <c r="I84" s="5" t="n"/>
      <c r="J84" s="5" t="n"/>
    </row>
    <row r="85">
      <c r="A85" s="16">
        <f>IF(B85&lt;&gt;"","EVD-"&amp;TEXT(ROW()-8,"000"),"")</f>
        <v/>
      </c>
      <c r="B85" s="5" t="n"/>
      <c r="C85" s="5" t="n"/>
      <c r="D85" s="5" t="n"/>
      <c r="E85" s="5" t="n"/>
      <c r="F85" s="5" t="n"/>
      <c r="G85" s="5" t="n"/>
      <c r="H85" s="4" t="n"/>
      <c r="I85" s="5" t="n"/>
      <c r="J85" s="5" t="n"/>
    </row>
    <row r="86">
      <c r="A86" s="16">
        <f>IF(B86&lt;&gt;"","EVD-"&amp;TEXT(ROW()-8,"000"),"")</f>
        <v/>
      </c>
      <c r="B86" s="5" t="n"/>
      <c r="C86" s="5" t="n"/>
      <c r="D86" s="5" t="n"/>
      <c r="E86" s="5" t="n"/>
      <c r="F86" s="5" t="n"/>
      <c r="G86" s="5" t="n"/>
      <c r="H86" s="4" t="n"/>
      <c r="I86" s="5" t="n"/>
      <c r="J86" s="5" t="n"/>
    </row>
    <row r="87">
      <c r="A87" s="16">
        <f>IF(B87&lt;&gt;"","EVD-"&amp;TEXT(ROW()-8,"000"),"")</f>
        <v/>
      </c>
      <c r="B87" s="5" t="n"/>
      <c r="C87" s="5" t="n"/>
      <c r="D87" s="5" t="n"/>
      <c r="E87" s="5" t="n"/>
      <c r="F87" s="5" t="n"/>
      <c r="G87" s="5" t="n"/>
      <c r="H87" s="4" t="n"/>
      <c r="I87" s="5" t="n"/>
      <c r="J87" s="5" t="n"/>
    </row>
    <row r="88">
      <c r="A88" s="16">
        <f>IF(B88&lt;&gt;"","EVD-"&amp;TEXT(ROW()-8,"000"),"")</f>
        <v/>
      </c>
      <c r="B88" s="5" t="n"/>
      <c r="C88" s="5" t="n"/>
      <c r="D88" s="5" t="n"/>
      <c r="E88" s="5" t="n"/>
      <c r="F88" s="5" t="n"/>
      <c r="G88" s="5" t="n"/>
      <c r="H88" s="4" t="n"/>
      <c r="I88" s="5" t="n"/>
      <c r="J88" s="5" t="n"/>
    </row>
    <row r="89">
      <c r="A89" s="16">
        <f>IF(B89&lt;&gt;"","EVD-"&amp;TEXT(ROW()-8,"000"),"")</f>
        <v/>
      </c>
      <c r="B89" s="5" t="n"/>
      <c r="C89" s="5" t="n"/>
      <c r="D89" s="5" t="n"/>
      <c r="E89" s="5" t="n"/>
      <c r="F89" s="5" t="n"/>
      <c r="G89" s="5" t="n"/>
      <c r="H89" s="4" t="n"/>
      <c r="I89" s="5" t="n"/>
      <c r="J89" s="5" t="n"/>
    </row>
    <row r="90">
      <c r="A90" s="16">
        <f>IF(B90&lt;&gt;"","EVD-"&amp;TEXT(ROW()-8,"000"),"")</f>
        <v/>
      </c>
      <c r="B90" s="5" t="n"/>
      <c r="C90" s="5" t="n"/>
      <c r="D90" s="5" t="n"/>
      <c r="E90" s="5" t="n"/>
      <c r="F90" s="5" t="n"/>
      <c r="G90" s="5" t="n"/>
      <c r="H90" s="4" t="n"/>
      <c r="I90" s="5" t="n"/>
      <c r="J90" s="5" t="n"/>
    </row>
    <row r="91">
      <c r="A91" s="16">
        <f>IF(B91&lt;&gt;"","EVD-"&amp;TEXT(ROW()-8,"000"),"")</f>
        <v/>
      </c>
      <c r="B91" s="5" t="n"/>
      <c r="C91" s="5" t="n"/>
      <c r="D91" s="5" t="n"/>
      <c r="E91" s="5" t="n"/>
      <c r="F91" s="5" t="n"/>
      <c r="G91" s="5" t="n"/>
      <c r="H91" s="4" t="n"/>
      <c r="I91" s="5" t="n"/>
      <c r="J91" s="5" t="n"/>
    </row>
    <row r="92">
      <c r="A92" s="16">
        <f>IF(B92&lt;&gt;"","EVD-"&amp;TEXT(ROW()-8,"000"),"")</f>
        <v/>
      </c>
      <c r="B92" s="5" t="n"/>
      <c r="C92" s="5" t="n"/>
      <c r="D92" s="5" t="n"/>
      <c r="E92" s="5" t="n"/>
      <c r="F92" s="5" t="n"/>
      <c r="G92" s="5" t="n"/>
      <c r="H92" s="4" t="n"/>
      <c r="I92" s="5" t="n"/>
      <c r="J92" s="5" t="n"/>
    </row>
    <row r="93">
      <c r="A93" s="16">
        <f>IF(B93&lt;&gt;"","EVD-"&amp;TEXT(ROW()-8,"000"),"")</f>
        <v/>
      </c>
      <c r="B93" s="5" t="n"/>
      <c r="C93" s="5" t="n"/>
      <c r="D93" s="5" t="n"/>
      <c r="E93" s="5" t="n"/>
      <c r="F93" s="5" t="n"/>
      <c r="G93" s="5" t="n"/>
      <c r="H93" s="4" t="n"/>
      <c r="I93" s="5" t="n"/>
      <c r="J93" s="5" t="n"/>
    </row>
    <row r="94">
      <c r="A94" s="16">
        <f>IF(B94&lt;&gt;"","EVD-"&amp;TEXT(ROW()-8,"000"),"")</f>
        <v/>
      </c>
      <c r="B94" s="5" t="n"/>
      <c r="C94" s="5" t="n"/>
      <c r="D94" s="5" t="n"/>
      <c r="E94" s="5" t="n"/>
      <c r="F94" s="5" t="n"/>
      <c r="G94" s="5" t="n"/>
      <c r="H94" s="4" t="n"/>
      <c r="I94" s="5" t="n"/>
      <c r="J94" s="5" t="n"/>
    </row>
    <row r="95">
      <c r="A95" s="16">
        <f>IF(B95&lt;&gt;"","EVD-"&amp;TEXT(ROW()-8,"000"),"")</f>
        <v/>
      </c>
      <c r="B95" s="5" t="n"/>
      <c r="C95" s="5" t="n"/>
      <c r="D95" s="5" t="n"/>
      <c r="E95" s="5" t="n"/>
      <c r="F95" s="5" t="n"/>
      <c r="G95" s="5" t="n"/>
      <c r="H95" s="4" t="n"/>
      <c r="I95" s="5" t="n"/>
      <c r="J95" s="5" t="n"/>
    </row>
    <row r="96">
      <c r="A96" s="16">
        <f>IF(B96&lt;&gt;"","EVD-"&amp;TEXT(ROW()-8,"000"),"")</f>
        <v/>
      </c>
      <c r="B96" s="5" t="n"/>
      <c r="C96" s="5" t="n"/>
      <c r="D96" s="5" t="n"/>
      <c r="E96" s="5" t="n"/>
      <c r="F96" s="5" t="n"/>
      <c r="G96" s="5" t="n"/>
      <c r="H96" s="4" t="n"/>
      <c r="I96" s="5" t="n"/>
      <c r="J96" s="5" t="n"/>
    </row>
    <row r="97">
      <c r="A97" s="16">
        <f>IF(B97&lt;&gt;"","EVD-"&amp;TEXT(ROW()-8,"000"),"")</f>
        <v/>
      </c>
      <c r="B97" s="5" t="n"/>
      <c r="C97" s="5" t="n"/>
      <c r="D97" s="5" t="n"/>
      <c r="E97" s="5" t="n"/>
      <c r="F97" s="5" t="n"/>
      <c r="G97" s="5" t="n"/>
      <c r="H97" s="4" t="n"/>
      <c r="I97" s="5" t="n"/>
      <c r="J97" s="5" t="n"/>
    </row>
    <row r="98">
      <c r="A98" s="16">
        <f>IF(B98&lt;&gt;"","EVD-"&amp;TEXT(ROW()-8,"000"),"")</f>
        <v/>
      </c>
      <c r="B98" s="5" t="n"/>
      <c r="C98" s="5" t="n"/>
      <c r="D98" s="5" t="n"/>
      <c r="E98" s="5" t="n"/>
      <c r="F98" s="5" t="n"/>
      <c r="G98" s="5" t="n"/>
      <c r="H98" s="4" t="n"/>
      <c r="I98" s="5" t="n"/>
      <c r="J98" s="5" t="n"/>
    </row>
    <row r="99">
      <c r="A99" s="16">
        <f>IF(B99&lt;&gt;"","EVD-"&amp;TEXT(ROW()-8,"000"),"")</f>
        <v/>
      </c>
      <c r="B99" s="5" t="n"/>
      <c r="C99" s="5" t="n"/>
      <c r="D99" s="5" t="n"/>
      <c r="E99" s="5" t="n"/>
      <c r="F99" s="5" t="n"/>
      <c r="G99" s="5" t="n"/>
      <c r="H99" s="4" t="n"/>
      <c r="I99" s="5" t="n"/>
      <c r="J99" s="5" t="n"/>
    </row>
    <row r="100">
      <c r="A100" s="16">
        <f>IF(B100&lt;&gt;"","EVD-"&amp;TEXT(ROW()-8,"000"),"")</f>
        <v/>
      </c>
      <c r="B100" s="5" t="n"/>
      <c r="C100" s="5" t="n"/>
      <c r="D100" s="5" t="n"/>
      <c r="E100" s="5" t="n"/>
      <c r="F100" s="5" t="n"/>
      <c r="G100" s="5" t="n"/>
      <c r="H100" s="4" t="n"/>
      <c r="I100" s="5" t="n"/>
      <c r="J100" s="5" t="n"/>
    </row>
    <row r="101">
      <c r="A101" s="16">
        <f>IF(B101&lt;&gt;"","EVD-"&amp;TEXT(ROW()-8,"000"),"")</f>
        <v/>
      </c>
      <c r="B101" s="5" t="n"/>
      <c r="C101" s="5" t="n"/>
      <c r="D101" s="5" t="n"/>
      <c r="E101" s="5" t="n"/>
      <c r="F101" s="5" t="n"/>
      <c r="G101" s="5" t="n"/>
      <c r="H101" s="4" t="n"/>
      <c r="I101" s="5" t="n"/>
      <c r="J101" s="5" t="n"/>
    </row>
    <row r="102">
      <c r="A102" s="16">
        <f>IF(B102&lt;&gt;"","EVD-"&amp;TEXT(ROW()-8,"000"),"")</f>
        <v/>
      </c>
      <c r="B102" s="5" t="n"/>
      <c r="C102" s="5" t="n"/>
      <c r="D102" s="5" t="n"/>
      <c r="E102" s="5" t="n"/>
      <c r="F102" s="5" t="n"/>
      <c r="G102" s="5" t="n"/>
      <c r="H102" s="4" t="n"/>
      <c r="I102" s="5" t="n"/>
      <c r="J102" s="5" t="n"/>
    </row>
    <row r="103">
      <c r="A103" s="16">
        <f>IF(B103&lt;&gt;"","EVD-"&amp;TEXT(ROW()-8,"000"),"")</f>
        <v/>
      </c>
      <c r="B103" s="5" t="n"/>
      <c r="C103" s="5" t="n"/>
      <c r="D103" s="5" t="n"/>
      <c r="E103" s="5" t="n"/>
      <c r="F103" s="5" t="n"/>
      <c r="G103" s="5" t="n"/>
      <c r="H103" s="4" t="n"/>
      <c r="I103" s="5" t="n"/>
      <c r="J103" s="5" t="n"/>
    </row>
    <row r="104">
      <c r="A104" s="16">
        <f>IF(B104&lt;&gt;"","EVD-"&amp;TEXT(ROW()-8,"000"),"")</f>
        <v/>
      </c>
      <c r="B104" s="5" t="n"/>
      <c r="C104" s="5" t="n"/>
      <c r="D104" s="5" t="n"/>
      <c r="E104" s="5" t="n"/>
      <c r="F104" s="5" t="n"/>
      <c r="G104" s="5" t="n"/>
      <c r="H104" s="4" t="n"/>
      <c r="I104" s="5" t="n"/>
      <c r="J104" s="5" t="n"/>
    </row>
    <row r="105">
      <c r="A105" s="16">
        <f>IF(B105&lt;&gt;"","EVD-"&amp;TEXT(ROW()-8,"000"),"")</f>
        <v/>
      </c>
      <c r="B105" s="5" t="n"/>
      <c r="C105" s="5" t="n"/>
      <c r="D105" s="5" t="n"/>
      <c r="E105" s="5" t="n"/>
      <c r="F105" s="5" t="n"/>
      <c r="G105" s="5" t="n"/>
      <c r="H105" s="4" t="n"/>
      <c r="I105" s="5" t="n"/>
      <c r="J105" s="5" t="n"/>
    </row>
    <row r="106">
      <c r="A106" s="16">
        <f>IF(B106&lt;&gt;"","EVD-"&amp;TEXT(ROW()-8,"000"),"")</f>
        <v/>
      </c>
      <c r="B106" s="5" t="n"/>
      <c r="C106" s="5" t="n"/>
      <c r="D106" s="5" t="n"/>
      <c r="E106" s="5" t="n"/>
      <c r="F106" s="5" t="n"/>
      <c r="G106" s="5" t="n"/>
      <c r="H106" s="4" t="n"/>
      <c r="I106" s="5" t="n"/>
      <c r="J106" s="5" t="n"/>
    </row>
    <row r="107">
      <c r="A107" s="16">
        <f>IF(B107&lt;&gt;"","EVD-"&amp;TEXT(ROW()-8,"000"),"")</f>
        <v/>
      </c>
      <c r="B107" s="5" t="n"/>
      <c r="C107" s="5" t="n"/>
      <c r="D107" s="5" t="n"/>
      <c r="E107" s="5" t="n"/>
      <c r="F107" s="5" t="n"/>
      <c r="G107" s="5" t="n"/>
      <c r="H107" s="4" t="n"/>
      <c r="I107" s="5" t="n"/>
      <c r="J107" s="5" t="n"/>
    </row>
    <row r="108">
      <c r="A108" s="16">
        <f>IF(B108&lt;&gt;"","EVD-"&amp;TEXT(ROW()-8,"000"),"")</f>
        <v/>
      </c>
      <c r="B108" s="5" t="n"/>
      <c r="C108" s="5" t="n"/>
      <c r="D108" s="5" t="n"/>
      <c r="E108" s="5" t="n"/>
      <c r="F108" s="5" t="n"/>
      <c r="G108" s="5" t="n"/>
      <c r="H108" s="4" t="n"/>
      <c r="I108" s="5" t="n"/>
      <c r="J108" s="5" t="n"/>
    </row>
  </sheetData>
  <mergeCells count="2">
    <mergeCell ref="A1:J1"/>
    <mergeCell ref="A2:J2"/>
  </mergeCells>
  <dataValidations count="1">
    <dataValidation sqref="B9:B108" showDropDown="0" showInputMessage="0" showErrorMessage="0" allowBlank="1" type="list">
      <formula1>"Log Sample,Configuration Screenshot,SIEM Query Result,Documentation,Policy Document,Other"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LOGGING COMPLIANCE DASHBOARD</t>
        </is>
      </c>
    </row>
    <row r="2" ht="25" customHeight="1">
      <c r="A2" s="6" t="inlineStr">
        <is>
          <t>Executive Summary - ISO/IEC 27001:2022 Control A.8.15</t>
        </is>
      </c>
    </row>
    <row r="4">
      <c r="A4" s="6" t="inlineStr">
        <is>
          <t>1. OVERALL COMPLIANCE SUMMARY</t>
        </is>
      </c>
    </row>
    <row r="6">
      <c r="A6" s="14" t="inlineStr">
        <is>
          <t>Metric</t>
        </is>
      </c>
      <c r="B6" s="14" t="inlineStr">
        <is>
          <t>Value</t>
        </is>
      </c>
      <c r="C6" s="14" t="inlineStr">
        <is>
          <t>Target</t>
        </is>
      </c>
      <c r="D6" s="14" t="inlineStr">
        <is>
          <t>Status</t>
        </is>
      </c>
    </row>
    <row r="7">
      <c r="A7" s="2" t="inlineStr">
        <is>
          <t>Total Systems Assessed</t>
        </is>
      </c>
      <c r="B7" s="16">
        <f>COUNTA('System Inventory'!B9:B100)</f>
        <v/>
      </c>
      <c r="C7" s="20" t="inlineStr">
        <is>
          <t>N/A</t>
        </is>
      </c>
      <c r="D7" s="16">
        <f>IF(B7&gt;0,"✓","✗")</f>
        <v/>
      </c>
    </row>
    <row r="8">
      <c r="A8" s="2" t="inlineStr">
        <is>
          <t>Systems with Logging Enabled</t>
        </is>
      </c>
      <c r="B8" s="16">
        <f>COUNTIF('System Inventory'!O:O,"Yes")</f>
        <v/>
      </c>
      <c r="C8" s="20" t="inlineStr">
        <is>
          <t>100%</t>
        </is>
      </c>
      <c r="D8" s="16">
        <f>IF(B8&gt;0,"✓","✗")</f>
        <v/>
      </c>
    </row>
    <row r="9">
      <c r="A9" s="2" t="inlineStr">
        <is>
          <t>Systems Forwarding to SIEM</t>
        </is>
      </c>
      <c r="B9" s="16">
        <f>COUNTIF('System Inventory'!P:P,"Yes")</f>
        <v/>
      </c>
      <c r="C9" s="20" t="inlineStr">
        <is>
          <t>100%</t>
        </is>
      </c>
      <c r="D9" s="16">
        <f>IF(B9&gt;0,"✓","✗")</f>
        <v/>
      </c>
    </row>
    <row r="10">
      <c r="A10" s="2" t="inlineStr">
        <is>
          <t>Overall Compliance Rate</t>
        </is>
      </c>
      <c r="B10" s="17">
        <f>AVERAGE('Authentication Logging'!P9:P100,'Authorization &amp; Access'!P9:P100,'Administrative Activity'!P9:P100,'Security Event Logging'!P9:P100,'Application &amp; Database'!P9:P100,'Network Device Logging'!P9:P100)</f>
        <v/>
      </c>
      <c r="C10" s="20" t="inlineStr">
        <is>
          <t>&gt;95%</t>
        </is>
      </c>
      <c r="D10" s="16">
        <f>IF(B10&gt;=95%,"✓ Met","✗ Not Met")</f>
        <v/>
      </c>
    </row>
    <row r="11">
      <c r="A11" s="2" t="inlineStr">
        <is>
          <t>Critical Systems Compliant (P1)</t>
        </is>
      </c>
      <c r="B11" s="17">
        <f>COUNTIFS('System Inventory'!I:I,"P1-Critical",'System Inventory'!Q:Q,"Compliant")/COUNTIF('System Inventory'!I:I,"P1-Critical")</f>
        <v/>
      </c>
      <c r="C11" s="20" t="inlineStr">
        <is>
          <t>100%</t>
        </is>
      </c>
      <c r="D11" s="16">
        <f>IF(B11&gt;=00%,"✓ Met","✗ Not Met")</f>
        <v/>
      </c>
    </row>
    <row r="12">
      <c r="A12" s="2" t="inlineStr">
        <is>
          <t>High Systems Compliant (P2)</t>
        </is>
      </c>
      <c r="B12" s="17">
        <f>COUNTIFS('System Inventory'!I:I,"P2-High",'System Inventory'!Q:Q,"Compliant")/COUNTIF('System Inventory'!I:I,"P2-High")</f>
        <v/>
      </c>
      <c r="C12" s="20" t="inlineStr">
        <is>
          <t>&gt;95%</t>
        </is>
      </c>
      <c r="D12" s="16">
        <f>IF(B12&gt;=95%,"✓ Met","✗ Not Met")</f>
        <v/>
      </c>
    </row>
    <row r="13">
      <c r="A13" s="2" t="inlineStr">
        <is>
          <t>Medium Systems Compliant (P3)</t>
        </is>
      </c>
      <c r="B13" s="17">
        <f>COUNTIFS('System Inventory'!I:I,"P3-Medium",'System Inventory'!Q:Q,"Compliant")/COUNTIF('System Inventory'!I:I,"P3-Medium")</f>
        <v/>
      </c>
      <c r="C13" s="20" t="inlineStr">
        <is>
          <t>&gt;90%</t>
        </is>
      </c>
      <c r="D13" s="16">
        <f>IF(B13&gt;=90%,"✓ Met","✗ Not Met")</f>
        <v/>
      </c>
    </row>
    <row r="16">
      <c r="A16" s="6" t="inlineStr">
        <is>
          <t>2. EVENT TYPE COVERAGE</t>
        </is>
      </c>
    </row>
    <row r="18">
      <c r="A18" s="14" t="inlineStr">
        <is>
          <t>Event Type</t>
        </is>
      </c>
      <c r="B18" s="14" t="inlineStr">
        <is>
          <t>Systems Logging</t>
        </is>
      </c>
      <c r="C18" s="14" t="inlineStr">
        <is>
          <t>% Coverage</t>
        </is>
      </c>
      <c r="D18" s="14" t="inlineStr">
        <is>
          <t>Target</t>
        </is>
      </c>
      <c r="E18" s="14" t="inlineStr">
        <is>
          <t>Status</t>
        </is>
      </c>
    </row>
    <row r="19">
      <c r="A19" s="2" t="inlineStr">
        <is>
          <t>Authentication</t>
        </is>
      </c>
      <c r="B19" s="16">
        <f>COUNTIF('Log Event Types by System'!C:C,"Yes")</f>
        <v/>
      </c>
      <c r="C19" s="17">
        <f>B19/COUNTA('System Inventory'!B9:B100)</f>
        <v/>
      </c>
      <c r="D19" s="20" t="inlineStr">
        <is>
          <t>&gt;95%</t>
        </is>
      </c>
      <c r="E19" s="16">
        <f>IF(C19&gt;=95%,"✓ Met","✗ Not Met")</f>
        <v/>
      </c>
    </row>
    <row r="20">
      <c r="A20" s="2" t="inlineStr">
        <is>
          <t>Authorization</t>
        </is>
      </c>
      <c r="B20" s="16">
        <f>COUNTIF('Log Event Types by System'!D:D,"Yes")</f>
        <v/>
      </c>
      <c r="C20" s="17">
        <f>B20/COUNTA('System Inventory'!B9:B100)</f>
        <v/>
      </c>
      <c r="D20" s="20" t="inlineStr">
        <is>
          <t>&gt;95%</t>
        </is>
      </c>
      <c r="E20" s="16">
        <f>IF(C20&gt;=95%,"✓ Met","✗ Not Met")</f>
        <v/>
      </c>
    </row>
    <row r="21">
      <c r="A21" s="2" t="inlineStr">
        <is>
          <t>Administrative</t>
        </is>
      </c>
      <c r="B21" s="16">
        <f>COUNTIF('Log Event Types by System'!E:E,"Yes")</f>
        <v/>
      </c>
      <c r="C21" s="17">
        <f>B21/COUNTA('System Inventory'!B9:B100)</f>
        <v/>
      </c>
      <c r="D21" s="20" t="inlineStr">
        <is>
          <t>&gt;95%</t>
        </is>
      </c>
      <c r="E21" s="16">
        <f>IF(C21&gt;=95%,"✓ Met","✗ Not Met")</f>
        <v/>
      </c>
    </row>
    <row r="22">
      <c r="A22" s="2" t="inlineStr">
        <is>
          <t>Security Events</t>
        </is>
      </c>
      <c r="B22" s="16">
        <f>COUNTIF('Log Event Types by System'!F:F,"Yes")</f>
        <v/>
      </c>
      <c r="C22" s="17">
        <f>B22/COUNTA('System Inventory'!B9:B100)</f>
        <v/>
      </c>
      <c r="D22" s="20" t="inlineStr">
        <is>
          <t>100%</t>
        </is>
      </c>
      <c r="E22" s="16">
        <f>IF(C22&gt;=00%,"✓ Met","✗ Not Met")</f>
        <v/>
      </c>
    </row>
    <row r="23">
      <c r="A23" s="2" t="inlineStr">
        <is>
          <t>Application</t>
        </is>
      </c>
      <c r="B23" s="16">
        <f>COUNTIF('Log Event Types by System'!G:G,"Yes")</f>
        <v/>
      </c>
      <c r="C23" s="17">
        <f>B23/COUNTA('System Inventory'!B9:B100)</f>
        <v/>
      </c>
      <c r="D23" s="20" t="inlineStr">
        <is>
          <t>&gt;90%</t>
        </is>
      </c>
      <c r="E23" s="16">
        <f>IF(C23&gt;=90%,"✓ Met","✗ Not Met")</f>
        <v/>
      </c>
    </row>
    <row r="24">
      <c r="A24" s="2" t="inlineStr">
        <is>
          <t>System</t>
        </is>
      </c>
      <c r="B24" s="16">
        <f>COUNTIF('Log Event Types by System'!H:H,"Yes")</f>
        <v/>
      </c>
      <c r="C24" s="17">
        <f>B24/COUNTA('System Inventory'!B9:B100)</f>
        <v/>
      </c>
      <c r="D24" s="20" t="inlineStr">
        <is>
          <t>&gt;85%</t>
        </is>
      </c>
      <c r="E24" s="16">
        <f>IF(C24&gt;=85%,"✓ Met","✗ Not Met")</f>
        <v/>
      </c>
    </row>
    <row r="25">
      <c r="A25" s="2" t="inlineStr">
        <is>
          <t>Network</t>
        </is>
      </c>
      <c r="B25" s="16">
        <f>COUNTIF('Log Event Types by System'!I:I,"Yes")</f>
        <v/>
      </c>
      <c r="C25" s="17">
        <f>B25/COUNTA('System Inventory'!B9:B100)</f>
        <v/>
      </c>
      <c r="D25" s="20" t="inlineStr">
        <is>
          <t>&gt;85%</t>
        </is>
      </c>
      <c r="E25" s="16">
        <f>IF(C25&gt;=85%,"✓ Met","✗ Not Met")</f>
        <v/>
      </c>
    </row>
    <row r="26">
      <c r="A26" s="2" t="inlineStr">
        <is>
          <t>Database</t>
        </is>
      </c>
      <c r="B26" s="16">
        <f>COUNTIF('Log Event Types by System'!J:J,"Yes")</f>
        <v/>
      </c>
      <c r="C26" s="17">
        <f>B26/COUNTA('System Inventory'!B9:B100)</f>
        <v/>
      </c>
      <c r="D26" s="20" t="inlineStr">
        <is>
          <t>&gt;90%</t>
        </is>
      </c>
      <c r="E26" s="16">
        <f>IF(C26&gt;=90%,"✓ Met","✗ Not Met")</f>
        <v/>
      </c>
    </row>
    <row r="30">
      <c r="A30" s="6" t="inlineStr">
        <is>
          <t>3. GAP SUMMARY BY PRIORITY</t>
        </is>
      </c>
    </row>
    <row r="32">
      <c r="A32" s="14" t="inlineStr">
        <is>
          <t>Priority</t>
        </is>
      </c>
      <c r="B32" s="14" t="inlineStr">
        <is>
          <t>Open Gaps</t>
        </is>
      </c>
      <c r="C32" s="14" t="inlineStr">
        <is>
          <t>In Progress</t>
        </is>
      </c>
      <c r="D32" s="14" t="inlineStr">
        <is>
          <t>Resolved</t>
        </is>
      </c>
      <c r="E32" s="14" t="inlineStr">
        <is>
          <t>Overdue</t>
        </is>
      </c>
      <c r="F32" s="14" t="inlineStr">
        <is>
          <t>% Complete</t>
        </is>
      </c>
    </row>
    <row r="33">
      <c r="A33" s="2" t="inlineStr">
        <is>
          <t>Critical</t>
        </is>
      </c>
      <c r="B33" s="16">
        <f>COUNTIFS('Gap Analysis'!G:G,"*Critical*",'Gap Analysis'!K:K,"*Open*")</f>
        <v/>
      </c>
      <c r="C33" s="16">
        <f>COUNTIFS('Gap Analysis'!G:G,"*Critical*",'Gap Analysis'!K:K,"*In Progress*")</f>
        <v/>
      </c>
      <c r="D33" s="16">
        <f>COUNTIFS('Gap Analysis'!G:G,"*Critical*",'Gap Analysis'!K:K,"*Resolved*")</f>
        <v/>
      </c>
      <c r="E33" s="16">
        <f>SUMPRODUCT((ISNUMBER(SEARCH("*Critical*",'Gap Analysis'!G:G)))*((ISNUMBER(SEARCH("*Open*",'Gap Analysis'!K:K)))+(ISNUMBER(SEARCH("*In Progress*",'Gap Analysis'!K:K))))*('Gap Analysis'!J:J&lt;TODAY())*('Gap Analysis'!J:J&lt;&gt;""))</f>
        <v/>
      </c>
      <c r="F33" s="17">
        <f>IF((B33+C33+D33)=0,0,D33/(B33+C33+D33))</f>
        <v/>
      </c>
    </row>
    <row r="34">
      <c r="A34" s="2" t="inlineStr">
        <is>
          <t>High</t>
        </is>
      </c>
      <c r="B34" s="16">
        <f>COUNTIFS('Gap Analysis'!G:G,"*High*",'Gap Analysis'!K:K,"*Open*")</f>
        <v/>
      </c>
      <c r="C34" s="16">
        <f>COUNTIFS('Gap Analysis'!G:G,"*High*",'Gap Analysis'!K:K,"*In Progress*")</f>
        <v/>
      </c>
      <c r="D34" s="16">
        <f>COUNTIFS('Gap Analysis'!G:G,"*High*",'Gap Analysis'!K:K,"*Resolved*")</f>
        <v/>
      </c>
      <c r="E34" s="16">
        <f>SUMPRODUCT((ISNUMBER(SEARCH("*High*",'Gap Analysis'!G:G)))*((ISNUMBER(SEARCH("*Open*",'Gap Analysis'!K:K)))+(ISNUMBER(SEARCH("*In Progress*",'Gap Analysis'!K:K))))*('Gap Analysis'!J:J&lt;TODAY())*('Gap Analysis'!J:J&lt;&gt;""))</f>
        <v/>
      </c>
      <c r="F34" s="17">
        <f>IF((B34+C34+D34)=0,0,D34/(B34+C34+D34))</f>
        <v/>
      </c>
    </row>
    <row r="35">
      <c r="A35" s="2" t="inlineStr">
        <is>
          <t>Medium</t>
        </is>
      </c>
      <c r="B35" s="16">
        <f>COUNTIFS('Gap Analysis'!G:G,"*Medium*",'Gap Analysis'!K:K,"*Open*")</f>
        <v/>
      </c>
      <c r="C35" s="16">
        <f>COUNTIFS('Gap Analysis'!G:G,"*Medium*",'Gap Analysis'!K:K,"*In Progress*")</f>
        <v/>
      </c>
      <c r="D35" s="16">
        <f>COUNTIFS('Gap Analysis'!G:G,"*Medium*",'Gap Analysis'!K:K,"*Resolved*")</f>
        <v/>
      </c>
      <c r="E35" s="16">
        <f>SUMPRODUCT((ISNUMBER(SEARCH("*Medium*",'Gap Analysis'!G:G)))*((ISNUMBER(SEARCH("*Open*",'Gap Analysis'!K:K)))+(ISNUMBER(SEARCH("*In Progress*",'Gap Analysis'!K:K))))*('Gap Analysis'!J:J&lt;TODAY())*('Gap Analysis'!J:J&lt;&gt;""))</f>
        <v/>
      </c>
      <c r="F35" s="17">
        <f>IF((B35+C35+D35)=0,0,D35/(B35+C35+D35))</f>
        <v/>
      </c>
    </row>
    <row r="36">
      <c r="A36" s="2" t="inlineStr">
        <is>
          <t>Low</t>
        </is>
      </c>
      <c r="B36" s="16">
        <f>COUNTIFS('Gap Analysis'!G:G,"*Low*",'Gap Analysis'!K:K,"*Open*")</f>
        <v/>
      </c>
      <c r="C36" s="16">
        <f>COUNTIFS('Gap Analysis'!G:G,"*Low*",'Gap Analysis'!K:K,"*In Progress*")</f>
        <v/>
      </c>
      <c r="D36" s="16">
        <f>COUNTIFS('Gap Analysis'!G:G,"*Low*",'Gap Analysis'!K:K,"*Resolved*")</f>
        <v/>
      </c>
      <c r="E36" s="16">
        <f>SUMPRODUCT((ISNUMBER(SEARCH("*Low*",'Gap Analysis'!G:G)))*((ISNUMBER(SEARCH("*Open*",'Gap Analysis'!K:K)))+(ISNUMBER(SEARCH("*In Progress*",'Gap Analysis'!K:K))))*('Gap Analysis'!J:J&lt;TODAY())*('Gap Analysis'!J:J&lt;&gt;""))</f>
        <v/>
      </c>
      <c r="F36" s="17">
        <f>IF((B36+C36+D36)=0,0,D36/(B36+C36+D36))</f>
        <v/>
      </c>
    </row>
    <row r="37">
      <c r="A37" s="21" t="inlineStr">
        <is>
          <t>TOTAL</t>
        </is>
      </c>
      <c r="B37" s="22">
        <f>SUM(B33:B36)</f>
        <v/>
      </c>
      <c r="C37" s="22">
        <f>SUM(C33:C36)</f>
        <v/>
      </c>
      <c r="D37" s="22">
        <f>SUM(D33:D36)</f>
        <v/>
      </c>
      <c r="E37" s="22">
        <f>SUM(E33:E36)</f>
        <v/>
      </c>
      <c r="F37" s="23">
        <f>IF((B37+C37+D37)=0,0,D37/(B37+C37+D37))</f>
        <v/>
      </c>
    </row>
    <row r="40">
      <c r="A40" s="6" t="inlineStr">
        <is>
          <t>4. TOP GAPS REQUIRING ATTENTION</t>
        </is>
      </c>
    </row>
    <row r="41">
      <c r="A41" s="24" t="inlineStr">
        <is>
          <t>Top 10 gaps sorted by priority (Critical first) and target date (most overdue first)</t>
        </is>
      </c>
    </row>
    <row r="42">
      <c r="A42" s="14" t="inlineStr">
        <is>
          <t>Gap ID</t>
        </is>
      </c>
      <c r="B42" s="14" t="inlineStr">
        <is>
          <t>System</t>
        </is>
      </c>
      <c r="C42" s="14" t="inlineStr">
        <is>
          <t>Description</t>
        </is>
      </c>
      <c r="D42" s="14" t="inlineStr">
        <is>
          <t>Priority</t>
        </is>
      </c>
      <c r="E42" s="14" t="inlineStr">
        <is>
          <t>Target Date</t>
        </is>
      </c>
      <c r="F42" s="14" t="inlineStr">
        <is>
          <t>Status</t>
        </is>
      </c>
    </row>
    <row r="43">
      <c r="A43" s="25" t="inlineStr">
        <is>
          <t>Note: Manually copy top 10 gaps from Gap Analysis sheet after sorting by Priority (desc) and Target Date (asc)</t>
        </is>
      </c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5">
      <c r="A55" s="6" t="inlineStr">
        <is>
          <t>5. RECOMMENDATIONS</t>
        </is>
      </c>
    </row>
    <row r="57">
      <c r="A57" s="26" t="inlineStr">
        <is>
          <t>1. IMMEDIATE ACTIONS (Critical Gaps):</t>
        </is>
      </c>
    </row>
    <row r="58">
      <c r="A58" s="27" t="inlineStr">
        <is>
          <t xml:space="preserve">   • Address all Critical priority gaps within 30 days</t>
        </is>
      </c>
    </row>
    <row r="59">
      <c r="A59" s="27" t="inlineStr">
        <is>
          <t xml:space="preserve">   • Implement logging on all P1-Critical systems showing non-compliant status</t>
        </is>
      </c>
    </row>
    <row r="60">
      <c r="A60" s="27" t="inlineStr">
        <is>
          <t xml:space="preserve">   • Enable SIEM forwarding for security event sources</t>
        </is>
      </c>
    </row>
    <row r="61">
      <c r="A61" s="27" t="inlineStr"/>
    </row>
    <row r="62">
      <c r="A62" s="26" t="inlineStr">
        <is>
          <t>2. SHORT-TERM IMPROVEMENTS (30-90 days):</t>
        </is>
      </c>
    </row>
    <row r="63">
      <c r="A63" s="27" t="inlineStr">
        <is>
          <t xml:space="preserve">   • Standardize log formats across similar system types</t>
        </is>
      </c>
    </row>
    <row r="64">
      <c r="A64" s="27" t="inlineStr">
        <is>
          <t xml:space="preserve">   • Implement centralized authentication logging for all applications</t>
        </is>
      </c>
    </row>
    <row r="65">
      <c r="A65" s="27" t="inlineStr">
        <is>
          <t xml:space="preserve">   • Complete missing administrative activity logging</t>
        </is>
      </c>
    </row>
    <row r="66">
      <c r="A66" s="27" t="inlineStr"/>
    </row>
    <row r="67">
      <c r="A67" s="26" t="inlineStr">
        <is>
          <t>3. MEDIUM-TERM ENHANCEMENTS (3-6 months):</t>
        </is>
      </c>
    </row>
    <row r="68">
      <c r="A68" s="27" t="inlineStr">
        <is>
          <t xml:space="preserve">   • Achieve &gt;95% overall compliance rate across all event types</t>
        </is>
      </c>
    </row>
    <row r="69">
      <c r="A69" s="27" t="inlineStr">
        <is>
          <t xml:space="preserve">   • Implement automated log analysis and alerting</t>
        </is>
      </c>
    </row>
    <row r="70">
      <c r="A70" s="27" t="inlineStr">
        <is>
          <t xml:space="preserve">   • Establish quarterly log source review process</t>
        </is>
      </c>
    </row>
    <row r="71">
      <c r="A71" s="27" t="inlineStr"/>
    </row>
    <row r="72">
      <c r="A72" s="26" t="inlineStr">
        <is>
          <t>4. RESOURCE REQUIREMENTS:</t>
        </is>
      </c>
    </row>
    <row r="73">
      <c r="A73" s="27" t="inlineStr">
        <is>
          <t xml:space="preserve">   • Budget allocation for SIEM/log management capacity expansion</t>
        </is>
      </c>
    </row>
    <row r="74">
      <c r="A74" s="27" t="inlineStr">
        <is>
          <t xml:space="preserve">   • Additional FTE or contractor support for gap remediation</t>
        </is>
      </c>
    </row>
    <row r="75">
      <c r="A75" s="27" t="inlineStr">
        <is>
          <t xml:space="preserve">   • Training for system owners on logging best practices</t>
        </is>
      </c>
    </row>
    <row r="78">
      <c r="A78" s="6" t="inlineStr">
        <is>
          <t>6. ASSESSMENT METADATA</t>
        </is>
      </c>
    </row>
    <row r="80">
      <c r="A80" s="2" t="inlineStr">
        <is>
          <t>Assessment Completed By:</t>
        </is>
      </c>
      <c r="B80" s="3">
        <f>'Instructions &amp; Legend'!B6</f>
        <v/>
      </c>
    </row>
    <row r="81">
      <c r="A81" s="2" t="inlineStr">
        <is>
          <t>Assessment Date:</t>
        </is>
      </c>
      <c r="B81" s="28">
        <f>'Instructions &amp; Legend'!B5</f>
        <v/>
      </c>
    </row>
    <row r="82">
      <c r="A82" s="2" t="inlineStr">
        <is>
          <t>Review Date:</t>
        </is>
      </c>
      <c r="B82" s="28">
        <f>TODAY()</f>
        <v/>
      </c>
    </row>
    <row r="83">
      <c r="A83" s="2" t="inlineStr">
        <is>
          <t>Next Assessment Due:</t>
        </is>
      </c>
      <c r="B83" s="3">
        <f>'Instructions &amp; Legend'!B5+365</f>
        <v/>
      </c>
    </row>
    <row r="84">
      <c r="A84" s="2" t="inlineStr">
        <is>
          <t>Approval Status:</t>
        </is>
      </c>
      <c r="B84" s="3" t="inlineStr">
        <is>
          <t>See Approval &amp; Sign-Off sheet</t>
        </is>
      </c>
    </row>
  </sheetData>
  <mergeCells count="29">
    <mergeCell ref="A67:H67"/>
    <mergeCell ref="A30:H30"/>
    <mergeCell ref="A59:H59"/>
    <mergeCell ref="A73:H73"/>
    <mergeCell ref="A64:H64"/>
    <mergeCell ref="A60:H60"/>
    <mergeCell ref="A1:H1"/>
    <mergeCell ref="A61:H61"/>
    <mergeCell ref="A70:H70"/>
    <mergeCell ref="A78:H78"/>
    <mergeCell ref="A69:H69"/>
    <mergeCell ref="A65:H65"/>
    <mergeCell ref="A16:H16"/>
    <mergeCell ref="A41:H41"/>
    <mergeCell ref="A66:H66"/>
    <mergeCell ref="A75:H75"/>
    <mergeCell ref="A74:H74"/>
    <mergeCell ref="A43:F43"/>
    <mergeCell ref="A55:H55"/>
    <mergeCell ref="A57:H57"/>
    <mergeCell ref="A2:H2"/>
    <mergeCell ref="A71:H71"/>
    <mergeCell ref="A4:H4"/>
    <mergeCell ref="A62:H62"/>
    <mergeCell ref="A63:H63"/>
    <mergeCell ref="A72:H72"/>
    <mergeCell ref="A68:H68"/>
    <mergeCell ref="A58:H58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Source Inventory Assessment</t>
        </is>
      </c>
    </row>
    <row r="4">
      <c r="A4" s="6" t="inlineStr">
        <is>
          <t>APPROVAL WORKFLOW</t>
        </is>
      </c>
    </row>
    <row r="6">
      <c r="A6" s="14" t="inlineStr">
        <is>
          <t>Role</t>
        </is>
      </c>
      <c r="B6" s="14" t="inlineStr">
        <is>
          <t>Name</t>
        </is>
      </c>
      <c r="C6" s="14" t="inlineStr">
        <is>
          <t>Date</t>
        </is>
      </c>
      <c r="D6" s="14" t="inlineStr">
        <is>
          <t>Signature</t>
        </is>
      </c>
      <c r="E6" s="14" t="inlineStr">
        <is>
          <t>Status</t>
        </is>
      </c>
    </row>
    <row r="7">
      <c r="A7" s="2" t="inlineStr">
        <is>
          <t>System Owners (collective)</t>
        </is>
      </c>
      <c r="B7" s="5" t="inlineStr">
        <is>
          <t>[List names]</t>
        </is>
      </c>
      <c r="C7" s="4" t="inlineStr"/>
      <c r="D7" s="5" t="inlineStr">
        <is>
          <t>_____</t>
        </is>
      </c>
      <c r="E7" s="29" t="inlineStr">
        <is>
          <t>☐ Reviewed</t>
        </is>
      </c>
    </row>
    <row r="8">
      <c r="A8" s="2" t="inlineStr">
        <is>
          <t>Log Administrator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29" t="inlineStr">
        <is>
          <t>☐ Reviewed</t>
        </is>
      </c>
    </row>
    <row r="9">
      <c r="A9" s="2" t="inlineStr">
        <is>
          <t>SOC Lead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29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29" t="inlineStr">
        <is>
          <t>☐ Approved</t>
        </is>
      </c>
    </row>
    <row r="11">
      <c r="A11" s="2" t="inlineStr">
        <is>
          <t>CISO</t>
        </is>
      </c>
      <c r="B11" s="5" t="inlineStr">
        <is>
          <t>[Name]</t>
        </is>
      </c>
      <c r="C11" s="4" t="inlineStr"/>
      <c r="D11" s="5" t="inlineStr">
        <is>
          <t>_____</t>
        </is>
      </c>
      <c r="E11" s="29" t="inlineStr">
        <is>
          <t>☐ Approved</t>
        </is>
      </c>
    </row>
    <row r="14">
      <c r="A14" s="6" t="inlineStr">
        <is>
          <t>ACKNOWLEDGMENTS CHECKLIST</t>
        </is>
      </c>
    </row>
    <row r="16">
      <c r="A16" s="30" t="inlineStr">
        <is>
          <t>☐ Assessment completed per ISMS-POL-A.8.15-S2.1</t>
        </is>
      </c>
    </row>
    <row r="17">
      <c r="A17" s="30" t="inlineStr">
        <is>
          <t>☐ All in-scope systems documented in System Inventory</t>
        </is>
      </c>
    </row>
    <row r="18">
      <c r="A18" s="30" t="inlineStr">
        <is>
          <t>☐ Event type logging assessed for all systems</t>
        </is>
      </c>
    </row>
    <row r="19">
      <c r="A19" s="30" t="inlineStr">
        <is>
          <t>☐ Gaps identified and prioritized</t>
        </is>
      </c>
    </row>
    <row r="20">
      <c r="A20" s="30" t="inlineStr">
        <is>
          <t>☐ Remediation plan established with target dates</t>
        </is>
      </c>
    </row>
    <row r="21">
      <c r="A21" s="30" t="inlineStr">
        <is>
          <t>☐ Resources committed for gap remediation</t>
        </is>
      </c>
    </row>
    <row r="22">
      <c r="A22" s="30" t="inlineStr">
        <is>
          <t>☐ Evidence artifacts collected and registered</t>
        </is>
      </c>
    </row>
    <row r="23">
      <c r="A23" s="30" t="inlineStr">
        <is>
          <t>☐ Next assessment date scheduled</t>
        </is>
      </c>
    </row>
    <row r="24">
      <c r="A24" s="30" t="inlineStr">
        <is>
          <t>☐ Stakeholders informed of findings</t>
        </is>
      </c>
    </row>
    <row r="25">
      <c r="A25" s="30" t="inlineStr">
        <is>
          <t>☐ Dashboard reviewed with management</t>
        </is>
      </c>
    </row>
    <row r="28">
      <c r="A28" s="6" t="inlineStr">
        <is>
          <t>APPROVAL COMMENTS / CONDITIONS</t>
        </is>
      </c>
    </row>
    <row r="29" ht="120" customHeight="1">
      <c r="A29" s="5" t="n"/>
    </row>
    <row r="30"/>
    <row r="31"/>
    <row r="32"/>
    <row r="33"/>
    <row r="34"/>
    <row r="35"/>
    <row r="36"/>
    <row r="37"/>
  </sheetData>
  <mergeCells count="16">
    <mergeCell ref="A21:E21"/>
    <mergeCell ref="A4:E4"/>
    <mergeCell ref="A20:E20"/>
    <mergeCell ref="A24:E24"/>
    <mergeCell ref="A2:E2"/>
    <mergeCell ref="A16:E16"/>
    <mergeCell ref="A29:E37"/>
    <mergeCell ref="A25:E25"/>
    <mergeCell ref="A28:E28"/>
    <mergeCell ref="A19:E19"/>
    <mergeCell ref="A1:E1"/>
    <mergeCell ref="A23:E23"/>
    <mergeCell ref="A14:E14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2026-01-31T02:16:28Z</dcterms:created>
  <dcterms:modified xmlns:dcterms="http://purl.org/dc/terms/" xmlns:xsi="http://www.w3.org/2001/XMLSchema-instance" xsi:type="dcterms:W3CDTF">2026-01-31T02:16:29Z</dcterms:modified>
</cp:coreProperties>
</file>