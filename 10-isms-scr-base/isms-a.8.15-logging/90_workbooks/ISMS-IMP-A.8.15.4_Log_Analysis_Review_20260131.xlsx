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Log Review Schedule" sheetId="2" state="visible" r:id="rId2"/>
    <sheet xmlns:r="http://schemas.openxmlformats.org/officeDocument/2006/relationships" name="Alert Management" sheetId="3" state="visible" r:id="rId3"/>
    <sheet xmlns:r="http://schemas.openxmlformats.org/officeDocument/2006/relationships" name="Investigation Workflow" sheetId="4" state="visible" r:id="rId4"/>
    <sheet xmlns:r="http://schemas.openxmlformats.org/officeDocument/2006/relationships" name="Analysis Tools &amp; Capabilities" sheetId="5" state="visible" r:id="rId5"/>
    <sheet xmlns:r="http://schemas.openxmlformats.org/officeDocument/2006/relationships" name="Review Findings" sheetId="6" state="visible" r:id="rId6"/>
    <sheet xmlns:r="http://schemas.openxmlformats.org/officeDocument/2006/relationships" name="Continuous Monitoring" sheetId="7" state="visible" r:id="rId7"/>
    <sheet xmlns:r="http://schemas.openxmlformats.org/officeDocument/2006/relationships" name="Performance Metrics" sheetId="8" state="visible" r:id="rId8"/>
    <sheet xmlns:r="http://schemas.openxmlformats.org/officeDocument/2006/relationships" name="Gap Analysis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Approval &amp;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DD.MM.YYYY HH:MM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666666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7E6E6"/>
        <bgColor rgb="00E7E6E6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top" wrapText="1"/>
    </xf>
    <xf numFmtId="164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left" vertical="top" wrapText="1"/>
    </xf>
    <xf numFmtId="165" fontId="0" fillId="3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C000"/>
          <b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40" customHeight="1">
      <c r="A1" s="1" t="inlineStr">
        <is>
          <t>ISMS-IMP-A.8.15.4  -  Log Analysis &amp; Review Assessment
ISO/IEC 27001:2022 - Control A.8.15: Logging</t>
        </is>
      </c>
    </row>
    <row r="4">
      <c r="A4" s="2" t="inlineStr">
        <is>
          <t>Document ID:</t>
        </is>
      </c>
      <c r="B4" s="3" t="inlineStr">
        <is>
          <t>ISMS-IMP-A.8.15.4</t>
        </is>
      </c>
    </row>
    <row r="5">
      <c r="A5" s="2" t="inlineStr">
        <is>
          <t>Assessment Area:</t>
        </is>
      </c>
      <c r="B5" s="3" t="inlineStr">
        <is>
          <t>Log Analysis, Review, and Continuous Monitoring</t>
        </is>
      </c>
    </row>
    <row r="6">
      <c r="A6" s="2" t="inlineStr">
        <is>
          <t>Related Policy:</t>
        </is>
      </c>
      <c r="B6" s="3" t="inlineStr">
        <is>
          <t>ISMS-POL-A.8.15-S2.4</t>
        </is>
      </c>
    </row>
    <row r="7">
      <c r="A7" s="2" t="inlineStr">
        <is>
          <t>Version:</t>
        </is>
      </c>
      <c r="B7" s="3" t="inlineStr">
        <is>
          <t>1.0</t>
        </is>
      </c>
    </row>
    <row r="8">
      <c r="A8" s="2" t="inlineStr">
        <is>
          <t>Assessment Date:</t>
        </is>
      </c>
      <c r="B8" s="4" t="inlineStr">
        <is>
          <t>[USER INPUT - DD.MM.YYYY]</t>
        </is>
      </c>
    </row>
    <row r="9">
      <c r="A9" s="2" t="inlineStr">
        <is>
          <t>Completed By:</t>
        </is>
      </c>
      <c r="B9" s="5" t="inlineStr">
        <is>
          <t>[USER INPUT]</t>
        </is>
      </c>
    </row>
    <row r="10">
      <c r="A10" s="2" t="inlineStr">
        <is>
          <t>Organization:</t>
        </is>
      </c>
      <c r="B10" s="5" t="inlineStr">
        <is>
          <t>[USER INPUT]</t>
        </is>
      </c>
    </row>
    <row r="11">
      <c r="A11" s="2" t="inlineStr">
        <is>
          <t>Review Cycle:</t>
        </is>
      </c>
      <c r="B11" s="3" t="inlineStr">
        <is>
          <t>Quarterly</t>
        </is>
      </c>
    </row>
    <row r="14">
      <c r="A14" s="6" t="inlineStr">
        <is>
          <t>KEY DEFINITIONS</t>
        </is>
      </c>
    </row>
    <row r="15">
      <c r="A15" s="2" t="inlineStr">
        <is>
          <t>Log Review</t>
        </is>
      </c>
      <c r="B15" s="7" t="inlineStr">
        <is>
          <t>Scheduled examination of logs for security events</t>
        </is>
      </c>
    </row>
    <row r="16">
      <c r="A16" s="2" t="inlineStr">
        <is>
          <t>Alert</t>
        </is>
      </c>
      <c r="B16" s="7" t="inlineStr">
        <is>
          <t>Automated notification of potential security event</t>
        </is>
      </c>
    </row>
    <row r="17">
      <c r="A17" s="2" t="inlineStr">
        <is>
          <t>True Positive</t>
        </is>
      </c>
      <c r="B17" s="7" t="inlineStr">
        <is>
          <t>Alert correctly identifying real security event</t>
        </is>
      </c>
    </row>
    <row r="18">
      <c r="A18" s="2" t="inlineStr">
        <is>
          <t>False Positive</t>
        </is>
      </c>
      <c r="B18" s="7" t="inlineStr">
        <is>
          <t>Alert incorrectly identifying normal activity as security event</t>
        </is>
      </c>
    </row>
    <row r="19">
      <c r="A19" s="2" t="inlineStr">
        <is>
          <t>MTTD</t>
        </is>
      </c>
      <c r="B19" s="7" t="inlineStr">
        <is>
          <t>Mean Time to Detect - average time to detect security event</t>
        </is>
      </c>
    </row>
    <row r="20">
      <c r="A20" s="2" t="inlineStr">
        <is>
          <t>MTTR</t>
        </is>
      </c>
      <c r="B20" s="7" t="inlineStr">
        <is>
          <t>Mean Time to Respond - average time to respond to security event</t>
        </is>
      </c>
    </row>
    <row r="21">
      <c r="A21" s="2" t="inlineStr">
        <is>
          <t>Use Case</t>
        </is>
      </c>
      <c r="B21" s="7" t="inlineStr">
        <is>
          <t>Specific detection scenario configured in SIEM</t>
        </is>
      </c>
    </row>
    <row r="22">
      <c r="A22" s="2" t="inlineStr">
        <is>
          <t>Playbook</t>
        </is>
      </c>
      <c r="B22" s="7" t="inlineStr">
        <is>
          <t>Documented procedure for investigating specific alert types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18" customWidth="1" min="4" max="4"/>
    <col width="25" customWidth="1" min="5" max="5"/>
    <col width="40" customWidth="1" min="6" max="6"/>
    <col width="18" customWidth="1" min="7" max="7"/>
    <col width="18" customWidth="1" min="8" max="8"/>
    <col width="15" customWidth="1" min="9" max="9"/>
    <col width="15" customWidth="1" min="10" max="10"/>
    <col width="18" customWidth="1" min="11" max="11"/>
    <col width="40" customWidth="1" min="12" max="12"/>
    <col width="40" customWidth="1" min="13" max="13"/>
    <col width="40" customWidth="1" min="14" max="14"/>
  </cols>
  <sheetData>
    <row r="1" ht="40" customHeight="1">
      <c r="A1" s="1" t="inlineStr">
        <is>
          <t>LOG REVIEW SCHEDULE</t>
        </is>
      </c>
    </row>
    <row r="2" ht="30" customHeight="1">
      <c r="A2" s="6" t="inlineStr">
        <is>
          <t>Document log review schedule and completion status per ISMS-POL-A.8.15-S2.4.1</t>
        </is>
      </c>
    </row>
    <row r="7" ht="35" customHeight="1">
      <c r="A7" s="8" t="inlineStr">
        <is>
          <t>Review ID</t>
        </is>
      </c>
      <c r="B7" s="8" t="inlineStr">
        <is>
          <t>Review Type</t>
        </is>
      </c>
      <c r="C7" s="8" t="inlineStr">
        <is>
          <t>Log Source / Scope</t>
        </is>
      </c>
      <c r="D7" s="8" t="inlineStr">
        <is>
          <t>Frequency</t>
        </is>
      </c>
      <c r="E7" s="8" t="inlineStr">
        <is>
          <t>Responsible Party</t>
        </is>
      </c>
      <c r="F7" s="8" t="inlineStr">
        <is>
          <t>Review Procedure</t>
        </is>
      </c>
      <c r="G7" s="8" t="inlineStr">
        <is>
          <t>Last Review Date</t>
        </is>
      </c>
      <c r="H7" s="8" t="inlineStr">
        <is>
          <t>Next Review Due</t>
        </is>
      </c>
      <c r="I7" s="8" t="inlineStr">
        <is>
          <t>Status</t>
        </is>
      </c>
      <c r="J7" s="8" t="inlineStr">
        <is>
          <t>Days Overdue</t>
        </is>
      </c>
      <c r="K7" s="8" t="inlineStr">
        <is>
          <t>Completion Rate %</t>
        </is>
      </c>
      <c r="L7" s="8" t="inlineStr">
        <is>
          <t>Findings (Last Review)</t>
        </is>
      </c>
      <c r="M7" s="8" t="inlineStr">
        <is>
          <t>Actions Taken</t>
        </is>
      </c>
      <c r="N7" s="8" t="inlineStr">
        <is>
          <t>Notes</t>
        </is>
      </c>
    </row>
    <row r="8">
      <c r="A8" s="9" t="inlineStr">
        <is>
          <t>REV-001</t>
        </is>
      </c>
      <c r="B8" s="9" t="inlineStr">
        <is>
          <t>Security Event Review</t>
        </is>
      </c>
      <c r="C8" s="9" t="inlineStr">
        <is>
          <t>Firewall logs</t>
        </is>
      </c>
      <c r="D8" s="9" t="inlineStr">
        <is>
          <t>Daily</t>
        </is>
      </c>
      <c r="E8" s="9" t="inlineStr">
        <is>
          <t>SOC Analyst</t>
        </is>
      </c>
      <c r="F8" s="9" t="inlineStr">
        <is>
          <t>Review denied connections, scan attempts</t>
        </is>
      </c>
      <c r="G8" s="9" t="inlineStr">
        <is>
          <t>06.01.2026</t>
        </is>
      </c>
      <c r="H8" s="9" t="inlineStr">
        <is>
          <t>07.01.2026</t>
        </is>
      </c>
      <c r="I8" s="9" t="inlineStr">
        <is>
          <t>On Schedule</t>
        </is>
      </c>
      <c r="J8" s="9" t="inlineStr">
        <is>
          <t>0</t>
        </is>
      </c>
      <c r="K8" s="9" t="inlineStr">
        <is>
          <t>100%</t>
        </is>
      </c>
      <c r="L8" s="9" t="inlineStr">
        <is>
          <t>3 port scans detected</t>
        </is>
      </c>
      <c r="M8" s="9" t="inlineStr">
        <is>
          <t>Blocked IPs added to blocklist</t>
        </is>
      </c>
      <c r="N8" s="9" t="inlineStr">
        <is>
          <t>Daily review completed</t>
        </is>
      </c>
    </row>
    <row r="9">
      <c r="A9" s="10">
        <f>IF(B9&lt;&gt;"","REV-"&amp;TEXT(ROW()-8,"000"),"")</f>
        <v/>
      </c>
      <c r="B9" s="5" t="n"/>
      <c r="C9" s="5" t="n"/>
      <c r="D9" s="5" t="n"/>
      <c r="E9" s="5" t="n"/>
      <c r="F9" s="5" t="n"/>
      <c r="G9" s="4" t="n"/>
      <c r="H9" s="4" t="n"/>
      <c r="I9" s="5" t="n"/>
      <c r="J9" s="10">
        <f>IF(AND(H9&lt;&gt;"",H9&lt;TODAY(),I9&lt;&gt;"Completed"),TODAY()-H9,0)</f>
        <v/>
      </c>
      <c r="K9" s="11" t="n"/>
      <c r="L9" s="5" t="n"/>
      <c r="M9" s="5" t="n"/>
      <c r="N9" s="5" t="n"/>
    </row>
    <row r="10">
      <c r="A10" s="10">
        <f>IF(B10&lt;&gt;"","REV-"&amp;TEXT(ROW()-8,"000"),"")</f>
        <v/>
      </c>
      <c r="B10" s="5" t="n"/>
      <c r="C10" s="5" t="n"/>
      <c r="D10" s="5" t="n"/>
      <c r="E10" s="5" t="n"/>
      <c r="F10" s="5" t="n"/>
      <c r="G10" s="4" t="n"/>
      <c r="H10" s="4" t="n"/>
      <c r="I10" s="5" t="n"/>
      <c r="J10" s="10">
        <f>IF(AND(H10&lt;&gt;"",H10&lt;TODAY(),I10&lt;&gt;"Completed"),TODAY()-H10,0)</f>
        <v/>
      </c>
      <c r="K10" s="11" t="n"/>
      <c r="L10" s="5" t="n"/>
      <c r="M10" s="5" t="n"/>
      <c r="N10" s="5" t="n"/>
    </row>
    <row r="11">
      <c r="A11" s="10">
        <f>IF(B11&lt;&gt;"","REV-"&amp;TEXT(ROW()-8,"000"),"")</f>
        <v/>
      </c>
      <c r="B11" s="5" t="n"/>
      <c r="C11" s="5" t="n"/>
      <c r="D11" s="5" t="n"/>
      <c r="E11" s="5" t="n"/>
      <c r="F11" s="5" t="n"/>
      <c r="G11" s="4" t="n"/>
      <c r="H11" s="4" t="n"/>
      <c r="I11" s="5" t="n"/>
      <c r="J11" s="10">
        <f>IF(AND(H11&lt;&gt;"",H11&lt;TODAY(),I11&lt;&gt;"Completed"),TODAY()-H11,0)</f>
        <v/>
      </c>
      <c r="K11" s="11" t="n"/>
      <c r="L11" s="5" t="n"/>
      <c r="M11" s="5" t="n"/>
      <c r="N11" s="5" t="n"/>
    </row>
    <row r="12">
      <c r="A12" s="10">
        <f>IF(B12&lt;&gt;"","REV-"&amp;TEXT(ROW()-8,"000"),"")</f>
        <v/>
      </c>
      <c r="B12" s="5" t="n"/>
      <c r="C12" s="5" t="n"/>
      <c r="D12" s="5" t="n"/>
      <c r="E12" s="5" t="n"/>
      <c r="F12" s="5" t="n"/>
      <c r="G12" s="4" t="n"/>
      <c r="H12" s="4" t="n"/>
      <c r="I12" s="5" t="n"/>
      <c r="J12" s="10">
        <f>IF(AND(H12&lt;&gt;"",H12&lt;TODAY(),I12&lt;&gt;"Completed"),TODAY()-H12,0)</f>
        <v/>
      </c>
      <c r="K12" s="11" t="n"/>
      <c r="L12" s="5" t="n"/>
      <c r="M12" s="5" t="n"/>
      <c r="N12" s="5" t="n"/>
    </row>
    <row r="13">
      <c r="A13" s="10">
        <f>IF(B13&lt;&gt;"","REV-"&amp;TEXT(ROW()-8,"000"),"")</f>
        <v/>
      </c>
      <c r="B13" s="5" t="n"/>
      <c r="C13" s="5" t="n"/>
      <c r="D13" s="5" t="n"/>
      <c r="E13" s="5" t="n"/>
      <c r="F13" s="5" t="n"/>
      <c r="G13" s="4" t="n"/>
      <c r="H13" s="4" t="n"/>
      <c r="I13" s="5" t="n"/>
      <c r="J13" s="10">
        <f>IF(AND(H13&lt;&gt;"",H13&lt;TODAY(),I13&lt;&gt;"Completed"),TODAY()-H13,0)</f>
        <v/>
      </c>
      <c r="K13" s="11" t="n"/>
      <c r="L13" s="5" t="n"/>
      <c r="M13" s="5" t="n"/>
      <c r="N13" s="5" t="n"/>
    </row>
    <row r="14">
      <c r="A14" s="10">
        <f>IF(B14&lt;&gt;"","REV-"&amp;TEXT(ROW()-8,"000"),"")</f>
        <v/>
      </c>
      <c r="B14" s="5" t="n"/>
      <c r="C14" s="5" t="n"/>
      <c r="D14" s="5" t="n"/>
      <c r="E14" s="5" t="n"/>
      <c r="F14" s="5" t="n"/>
      <c r="G14" s="4" t="n"/>
      <c r="H14" s="4" t="n"/>
      <c r="I14" s="5" t="n"/>
      <c r="J14" s="10">
        <f>IF(AND(H14&lt;&gt;"",H14&lt;TODAY(),I14&lt;&gt;"Completed"),TODAY()-H14,0)</f>
        <v/>
      </c>
      <c r="K14" s="11" t="n"/>
      <c r="L14" s="5" t="n"/>
      <c r="M14" s="5" t="n"/>
      <c r="N14" s="5" t="n"/>
    </row>
    <row r="15">
      <c r="A15" s="10">
        <f>IF(B15&lt;&gt;"","REV-"&amp;TEXT(ROW()-8,"000"),"")</f>
        <v/>
      </c>
      <c r="B15" s="5" t="n"/>
      <c r="C15" s="5" t="n"/>
      <c r="D15" s="5" t="n"/>
      <c r="E15" s="5" t="n"/>
      <c r="F15" s="5" t="n"/>
      <c r="G15" s="4" t="n"/>
      <c r="H15" s="4" t="n"/>
      <c r="I15" s="5" t="n"/>
      <c r="J15" s="10">
        <f>IF(AND(H15&lt;&gt;"",H15&lt;TODAY(),I15&lt;&gt;"Completed"),TODAY()-H15,0)</f>
        <v/>
      </c>
      <c r="K15" s="11" t="n"/>
      <c r="L15" s="5" t="n"/>
      <c r="M15" s="5" t="n"/>
      <c r="N15" s="5" t="n"/>
    </row>
    <row r="16">
      <c r="A16" s="10">
        <f>IF(B16&lt;&gt;"","REV-"&amp;TEXT(ROW()-8,"000"),"")</f>
        <v/>
      </c>
      <c r="B16" s="5" t="n"/>
      <c r="C16" s="5" t="n"/>
      <c r="D16" s="5" t="n"/>
      <c r="E16" s="5" t="n"/>
      <c r="F16" s="5" t="n"/>
      <c r="G16" s="4" t="n"/>
      <c r="H16" s="4" t="n"/>
      <c r="I16" s="5" t="n"/>
      <c r="J16" s="10">
        <f>IF(AND(H16&lt;&gt;"",H16&lt;TODAY(),I16&lt;&gt;"Completed"),TODAY()-H16,0)</f>
        <v/>
      </c>
      <c r="K16" s="11" t="n"/>
      <c r="L16" s="5" t="n"/>
      <c r="M16" s="5" t="n"/>
      <c r="N16" s="5" t="n"/>
    </row>
    <row r="17">
      <c r="A17" s="10">
        <f>IF(B17&lt;&gt;"","REV-"&amp;TEXT(ROW()-8,"000"),"")</f>
        <v/>
      </c>
      <c r="B17" s="5" t="n"/>
      <c r="C17" s="5" t="n"/>
      <c r="D17" s="5" t="n"/>
      <c r="E17" s="5" t="n"/>
      <c r="F17" s="5" t="n"/>
      <c r="G17" s="4" t="n"/>
      <c r="H17" s="4" t="n"/>
      <c r="I17" s="5" t="n"/>
      <c r="J17" s="10">
        <f>IF(AND(H17&lt;&gt;"",H17&lt;TODAY(),I17&lt;&gt;"Completed"),TODAY()-H17,0)</f>
        <v/>
      </c>
      <c r="K17" s="11" t="n"/>
      <c r="L17" s="5" t="n"/>
      <c r="M17" s="5" t="n"/>
      <c r="N17" s="5" t="n"/>
    </row>
    <row r="18">
      <c r="A18" s="10">
        <f>IF(B18&lt;&gt;"","REV-"&amp;TEXT(ROW()-8,"000"),"")</f>
        <v/>
      </c>
      <c r="B18" s="5" t="n"/>
      <c r="C18" s="5" t="n"/>
      <c r="D18" s="5" t="n"/>
      <c r="E18" s="5" t="n"/>
      <c r="F18" s="5" t="n"/>
      <c r="G18" s="4" t="n"/>
      <c r="H18" s="4" t="n"/>
      <c r="I18" s="5" t="n"/>
      <c r="J18" s="10">
        <f>IF(AND(H18&lt;&gt;"",H18&lt;TODAY(),I18&lt;&gt;"Completed"),TODAY()-H18,0)</f>
        <v/>
      </c>
      <c r="K18" s="11" t="n"/>
      <c r="L18" s="5" t="n"/>
      <c r="M18" s="5" t="n"/>
      <c r="N18" s="5" t="n"/>
    </row>
    <row r="19">
      <c r="A19" s="10">
        <f>IF(B19&lt;&gt;"","REV-"&amp;TEXT(ROW()-8,"000"),"")</f>
        <v/>
      </c>
      <c r="B19" s="5" t="n"/>
      <c r="C19" s="5" t="n"/>
      <c r="D19" s="5" t="n"/>
      <c r="E19" s="5" t="n"/>
      <c r="F19" s="5" t="n"/>
      <c r="G19" s="4" t="n"/>
      <c r="H19" s="4" t="n"/>
      <c r="I19" s="5" t="n"/>
      <c r="J19" s="10">
        <f>IF(AND(H19&lt;&gt;"",H19&lt;TODAY(),I19&lt;&gt;"Completed"),TODAY()-H19,0)</f>
        <v/>
      </c>
      <c r="K19" s="11" t="n"/>
      <c r="L19" s="5" t="n"/>
      <c r="M19" s="5" t="n"/>
      <c r="N19" s="5" t="n"/>
    </row>
    <row r="20">
      <c r="A20" s="10">
        <f>IF(B20&lt;&gt;"","REV-"&amp;TEXT(ROW()-8,"000"),"")</f>
        <v/>
      </c>
      <c r="B20" s="5" t="n"/>
      <c r="C20" s="5" t="n"/>
      <c r="D20" s="5" t="n"/>
      <c r="E20" s="5" t="n"/>
      <c r="F20" s="5" t="n"/>
      <c r="G20" s="4" t="n"/>
      <c r="H20" s="4" t="n"/>
      <c r="I20" s="5" t="n"/>
      <c r="J20" s="10">
        <f>IF(AND(H20&lt;&gt;"",H20&lt;TODAY(),I20&lt;&gt;"Completed"),TODAY()-H20,0)</f>
        <v/>
      </c>
      <c r="K20" s="11" t="n"/>
      <c r="L20" s="5" t="n"/>
      <c r="M20" s="5" t="n"/>
      <c r="N20" s="5" t="n"/>
    </row>
    <row r="21">
      <c r="A21" s="10">
        <f>IF(B21&lt;&gt;"","REV-"&amp;TEXT(ROW()-8,"000"),"")</f>
        <v/>
      </c>
      <c r="B21" s="5" t="n"/>
      <c r="C21" s="5" t="n"/>
      <c r="D21" s="5" t="n"/>
      <c r="E21" s="5" t="n"/>
      <c r="F21" s="5" t="n"/>
      <c r="G21" s="4" t="n"/>
      <c r="H21" s="4" t="n"/>
      <c r="I21" s="5" t="n"/>
      <c r="J21" s="10">
        <f>IF(AND(H21&lt;&gt;"",H21&lt;TODAY(),I21&lt;&gt;"Completed"),TODAY()-H21,0)</f>
        <v/>
      </c>
      <c r="K21" s="11" t="n"/>
      <c r="L21" s="5" t="n"/>
      <c r="M21" s="5" t="n"/>
      <c r="N21" s="5" t="n"/>
    </row>
    <row r="22">
      <c r="A22" s="10">
        <f>IF(B22&lt;&gt;"","REV-"&amp;TEXT(ROW()-8,"000"),"")</f>
        <v/>
      </c>
      <c r="B22" s="5" t="n"/>
      <c r="C22" s="5" t="n"/>
      <c r="D22" s="5" t="n"/>
      <c r="E22" s="5" t="n"/>
      <c r="F22" s="5" t="n"/>
      <c r="G22" s="4" t="n"/>
      <c r="H22" s="4" t="n"/>
      <c r="I22" s="5" t="n"/>
      <c r="J22" s="10">
        <f>IF(AND(H22&lt;&gt;"",H22&lt;TODAY(),I22&lt;&gt;"Completed"),TODAY()-H22,0)</f>
        <v/>
      </c>
      <c r="K22" s="11" t="n"/>
      <c r="L22" s="5" t="n"/>
      <c r="M22" s="5" t="n"/>
      <c r="N22" s="5" t="n"/>
    </row>
    <row r="23">
      <c r="A23" s="10">
        <f>IF(B23&lt;&gt;"","REV-"&amp;TEXT(ROW()-8,"000"),"")</f>
        <v/>
      </c>
      <c r="B23" s="5" t="n"/>
      <c r="C23" s="5" t="n"/>
      <c r="D23" s="5" t="n"/>
      <c r="E23" s="5" t="n"/>
      <c r="F23" s="5" t="n"/>
      <c r="G23" s="4" t="n"/>
      <c r="H23" s="4" t="n"/>
      <c r="I23" s="5" t="n"/>
      <c r="J23" s="10">
        <f>IF(AND(H23&lt;&gt;"",H23&lt;TODAY(),I23&lt;&gt;"Completed"),TODAY()-H23,0)</f>
        <v/>
      </c>
      <c r="K23" s="11" t="n"/>
      <c r="L23" s="5" t="n"/>
      <c r="M23" s="5" t="n"/>
      <c r="N23" s="5" t="n"/>
    </row>
    <row r="24">
      <c r="A24" s="10">
        <f>IF(B24&lt;&gt;"","REV-"&amp;TEXT(ROW()-8,"000"),"")</f>
        <v/>
      </c>
      <c r="B24" s="5" t="n"/>
      <c r="C24" s="5" t="n"/>
      <c r="D24" s="5" t="n"/>
      <c r="E24" s="5" t="n"/>
      <c r="F24" s="5" t="n"/>
      <c r="G24" s="4" t="n"/>
      <c r="H24" s="4" t="n"/>
      <c r="I24" s="5" t="n"/>
      <c r="J24" s="10">
        <f>IF(AND(H24&lt;&gt;"",H24&lt;TODAY(),I24&lt;&gt;"Completed"),TODAY()-H24,0)</f>
        <v/>
      </c>
      <c r="K24" s="11" t="n"/>
      <c r="L24" s="5" t="n"/>
      <c r="M24" s="5" t="n"/>
      <c r="N24" s="5" t="n"/>
    </row>
    <row r="25">
      <c r="A25" s="10">
        <f>IF(B25&lt;&gt;"","REV-"&amp;TEXT(ROW()-8,"000"),"")</f>
        <v/>
      </c>
      <c r="B25" s="5" t="n"/>
      <c r="C25" s="5" t="n"/>
      <c r="D25" s="5" t="n"/>
      <c r="E25" s="5" t="n"/>
      <c r="F25" s="5" t="n"/>
      <c r="G25" s="4" t="n"/>
      <c r="H25" s="4" t="n"/>
      <c r="I25" s="5" t="n"/>
      <c r="J25" s="10">
        <f>IF(AND(H25&lt;&gt;"",H25&lt;TODAY(),I25&lt;&gt;"Completed"),TODAY()-H25,0)</f>
        <v/>
      </c>
      <c r="K25" s="11" t="n"/>
      <c r="L25" s="5" t="n"/>
      <c r="M25" s="5" t="n"/>
      <c r="N25" s="5" t="n"/>
    </row>
    <row r="26">
      <c r="A26" s="10">
        <f>IF(B26&lt;&gt;"","REV-"&amp;TEXT(ROW()-8,"000"),"")</f>
        <v/>
      </c>
      <c r="B26" s="5" t="n"/>
      <c r="C26" s="5" t="n"/>
      <c r="D26" s="5" t="n"/>
      <c r="E26" s="5" t="n"/>
      <c r="F26" s="5" t="n"/>
      <c r="G26" s="4" t="n"/>
      <c r="H26" s="4" t="n"/>
      <c r="I26" s="5" t="n"/>
      <c r="J26" s="10">
        <f>IF(AND(H26&lt;&gt;"",H26&lt;TODAY(),I26&lt;&gt;"Completed"),TODAY()-H26,0)</f>
        <v/>
      </c>
      <c r="K26" s="11" t="n"/>
      <c r="L26" s="5" t="n"/>
      <c r="M26" s="5" t="n"/>
      <c r="N26" s="5" t="n"/>
    </row>
    <row r="27">
      <c r="A27" s="10">
        <f>IF(B27&lt;&gt;"","REV-"&amp;TEXT(ROW()-8,"000"),"")</f>
        <v/>
      </c>
      <c r="B27" s="5" t="n"/>
      <c r="C27" s="5" t="n"/>
      <c r="D27" s="5" t="n"/>
      <c r="E27" s="5" t="n"/>
      <c r="F27" s="5" t="n"/>
      <c r="G27" s="4" t="n"/>
      <c r="H27" s="4" t="n"/>
      <c r="I27" s="5" t="n"/>
      <c r="J27" s="10">
        <f>IF(AND(H27&lt;&gt;"",H27&lt;TODAY(),I27&lt;&gt;"Completed"),TODAY()-H27,0)</f>
        <v/>
      </c>
      <c r="K27" s="11" t="n"/>
      <c r="L27" s="5" t="n"/>
      <c r="M27" s="5" t="n"/>
      <c r="N27" s="5" t="n"/>
    </row>
    <row r="28">
      <c r="A28" s="10">
        <f>IF(B28&lt;&gt;"","REV-"&amp;TEXT(ROW()-8,"000"),"")</f>
        <v/>
      </c>
      <c r="B28" s="5" t="n"/>
      <c r="C28" s="5" t="n"/>
      <c r="D28" s="5" t="n"/>
      <c r="E28" s="5" t="n"/>
      <c r="F28" s="5" t="n"/>
      <c r="G28" s="4" t="n"/>
      <c r="H28" s="4" t="n"/>
      <c r="I28" s="5" t="n"/>
      <c r="J28" s="10">
        <f>IF(AND(H28&lt;&gt;"",H28&lt;TODAY(),I28&lt;&gt;"Completed"),TODAY()-H28,0)</f>
        <v/>
      </c>
      <c r="K28" s="11" t="n"/>
      <c r="L28" s="5" t="n"/>
      <c r="M28" s="5" t="n"/>
      <c r="N28" s="5" t="n"/>
    </row>
    <row r="29">
      <c r="A29" s="10">
        <f>IF(B29&lt;&gt;"","REV-"&amp;TEXT(ROW()-8,"000"),"")</f>
        <v/>
      </c>
      <c r="B29" s="5" t="n"/>
      <c r="C29" s="5" t="n"/>
      <c r="D29" s="5" t="n"/>
      <c r="E29" s="5" t="n"/>
      <c r="F29" s="5" t="n"/>
      <c r="G29" s="4" t="n"/>
      <c r="H29" s="4" t="n"/>
      <c r="I29" s="5" t="n"/>
      <c r="J29" s="10">
        <f>IF(AND(H29&lt;&gt;"",H29&lt;TODAY(),I29&lt;&gt;"Completed"),TODAY()-H29,0)</f>
        <v/>
      </c>
      <c r="K29" s="11" t="n"/>
      <c r="L29" s="5" t="n"/>
      <c r="M29" s="5" t="n"/>
      <c r="N29" s="5" t="n"/>
    </row>
    <row r="30">
      <c r="A30" s="10">
        <f>IF(B30&lt;&gt;"","REV-"&amp;TEXT(ROW()-8,"000"),"")</f>
        <v/>
      </c>
      <c r="B30" s="5" t="n"/>
      <c r="C30" s="5" t="n"/>
      <c r="D30" s="5" t="n"/>
      <c r="E30" s="5" t="n"/>
      <c r="F30" s="5" t="n"/>
      <c r="G30" s="4" t="n"/>
      <c r="H30" s="4" t="n"/>
      <c r="I30" s="5" t="n"/>
      <c r="J30" s="10">
        <f>IF(AND(H30&lt;&gt;"",H30&lt;TODAY(),I30&lt;&gt;"Completed"),TODAY()-H30,0)</f>
        <v/>
      </c>
      <c r="K30" s="11" t="n"/>
      <c r="L30" s="5" t="n"/>
      <c r="M30" s="5" t="n"/>
      <c r="N30" s="5" t="n"/>
    </row>
    <row r="31">
      <c r="A31" s="10">
        <f>IF(B31&lt;&gt;"","REV-"&amp;TEXT(ROW()-8,"000"),"")</f>
        <v/>
      </c>
      <c r="B31" s="5" t="n"/>
      <c r="C31" s="5" t="n"/>
      <c r="D31" s="5" t="n"/>
      <c r="E31" s="5" t="n"/>
      <c r="F31" s="5" t="n"/>
      <c r="G31" s="4" t="n"/>
      <c r="H31" s="4" t="n"/>
      <c r="I31" s="5" t="n"/>
      <c r="J31" s="10">
        <f>IF(AND(H31&lt;&gt;"",H31&lt;TODAY(),I31&lt;&gt;"Completed"),TODAY()-H31,0)</f>
        <v/>
      </c>
      <c r="K31" s="11" t="n"/>
      <c r="L31" s="5" t="n"/>
      <c r="M31" s="5" t="n"/>
      <c r="N31" s="5" t="n"/>
    </row>
    <row r="32">
      <c r="A32" s="10">
        <f>IF(B32&lt;&gt;"","REV-"&amp;TEXT(ROW()-8,"000"),"")</f>
        <v/>
      </c>
      <c r="B32" s="5" t="n"/>
      <c r="C32" s="5" t="n"/>
      <c r="D32" s="5" t="n"/>
      <c r="E32" s="5" t="n"/>
      <c r="F32" s="5" t="n"/>
      <c r="G32" s="4" t="n"/>
      <c r="H32" s="4" t="n"/>
      <c r="I32" s="5" t="n"/>
      <c r="J32" s="10">
        <f>IF(AND(H32&lt;&gt;"",H32&lt;TODAY(),I32&lt;&gt;"Completed"),TODAY()-H32,0)</f>
        <v/>
      </c>
      <c r="K32" s="11" t="n"/>
      <c r="L32" s="5" t="n"/>
      <c r="M32" s="5" t="n"/>
      <c r="N32" s="5" t="n"/>
    </row>
    <row r="33">
      <c r="A33" s="10">
        <f>IF(B33&lt;&gt;"","REV-"&amp;TEXT(ROW()-8,"000"),"")</f>
        <v/>
      </c>
      <c r="B33" s="5" t="n"/>
      <c r="C33" s="5" t="n"/>
      <c r="D33" s="5" t="n"/>
      <c r="E33" s="5" t="n"/>
      <c r="F33" s="5" t="n"/>
      <c r="G33" s="4" t="n"/>
      <c r="H33" s="4" t="n"/>
      <c r="I33" s="5" t="n"/>
      <c r="J33" s="10">
        <f>IF(AND(H33&lt;&gt;"",H33&lt;TODAY(),I33&lt;&gt;"Completed"),TODAY()-H33,0)</f>
        <v/>
      </c>
      <c r="K33" s="11" t="n"/>
      <c r="L33" s="5" t="n"/>
      <c r="M33" s="5" t="n"/>
      <c r="N33" s="5" t="n"/>
    </row>
    <row r="34">
      <c r="A34" s="10">
        <f>IF(B34&lt;&gt;"","REV-"&amp;TEXT(ROW()-8,"000"),"")</f>
        <v/>
      </c>
      <c r="B34" s="5" t="n"/>
      <c r="C34" s="5" t="n"/>
      <c r="D34" s="5" t="n"/>
      <c r="E34" s="5" t="n"/>
      <c r="F34" s="5" t="n"/>
      <c r="G34" s="4" t="n"/>
      <c r="H34" s="4" t="n"/>
      <c r="I34" s="5" t="n"/>
      <c r="J34" s="10">
        <f>IF(AND(H34&lt;&gt;"",H34&lt;TODAY(),I34&lt;&gt;"Completed"),TODAY()-H34,0)</f>
        <v/>
      </c>
      <c r="K34" s="11" t="n"/>
      <c r="L34" s="5" t="n"/>
      <c r="M34" s="5" t="n"/>
      <c r="N34" s="5" t="n"/>
    </row>
    <row r="35">
      <c r="A35" s="10">
        <f>IF(B35&lt;&gt;"","REV-"&amp;TEXT(ROW()-8,"000"),"")</f>
        <v/>
      </c>
      <c r="B35" s="5" t="n"/>
      <c r="C35" s="5" t="n"/>
      <c r="D35" s="5" t="n"/>
      <c r="E35" s="5" t="n"/>
      <c r="F35" s="5" t="n"/>
      <c r="G35" s="4" t="n"/>
      <c r="H35" s="4" t="n"/>
      <c r="I35" s="5" t="n"/>
      <c r="J35" s="10">
        <f>IF(AND(H35&lt;&gt;"",H35&lt;TODAY(),I35&lt;&gt;"Completed"),TODAY()-H35,0)</f>
        <v/>
      </c>
      <c r="K35" s="11" t="n"/>
      <c r="L35" s="5" t="n"/>
      <c r="M35" s="5" t="n"/>
      <c r="N35" s="5" t="n"/>
    </row>
    <row r="36">
      <c r="A36" s="10">
        <f>IF(B36&lt;&gt;"","REV-"&amp;TEXT(ROW()-8,"000"),"")</f>
        <v/>
      </c>
      <c r="B36" s="5" t="n"/>
      <c r="C36" s="5" t="n"/>
      <c r="D36" s="5" t="n"/>
      <c r="E36" s="5" t="n"/>
      <c r="F36" s="5" t="n"/>
      <c r="G36" s="4" t="n"/>
      <c r="H36" s="4" t="n"/>
      <c r="I36" s="5" t="n"/>
      <c r="J36" s="10">
        <f>IF(AND(H36&lt;&gt;"",H36&lt;TODAY(),I36&lt;&gt;"Completed"),TODAY()-H36,0)</f>
        <v/>
      </c>
      <c r="K36" s="11" t="n"/>
      <c r="L36" s="5" t="n"/>
      <c r="M36" s="5" t="n"/>
      <c r="N36" s="5" t="n"/>
    </row>
    <row r="37">
      <c r="A37" s="10">
        <f>IF(B37&lt;&gt;"","REV-"&amp;TEXT(ROW()-8,"000"),"")</f>
        <v/>
      </c>
      <c r="B37" s="5" t="n"/>
      <c r="C37" s="5" t="n"/>
      <c r="D37" s="5" t="n"/>
      <c r="E37" s="5" t="n"/>
      <c r="F37" s="5" t="n"/>
      <c r="G37" s="4" t="n"/>
      <c r="H37" s="4" t="n"/>
      <c r="I37" s="5" t="n"/>
      <c r="J37" s="10">
        <f>IF(AND(H37&lt;&gt;"",H37&lt;TODAY(),I37&lt;&gt;"Completed"),TODAY()-H37,0)</f>
        <v/>
      </c>
      <c r="K37" s="11" t="n"/>
      <c r="L37" s="5" t="n"/>
      <c r="M37" s="5" t="n"/>
      <c r="N37" s="5" t="n"/>
    </row>
    <row r="38">
      <c r="A38" s="10">
        <f>IF(B38&lt;&gt;"","REV-"&amp;TEXT(ROW()-8,"000"),"")</f>
        <v/>
      </c>
      <c r="B38" s="5" t="n"/>
      <c r="C38" s="5" t="n"/>
      <c r="D38" s="5" t="n"/>
      <c r="E38" s="5" t="n"/>
      <c r="F38" s="5" t="n"/>
      <c r="G38" s="4" t="n"/>
      <c r="H38" s="4" t="n"/>
      <c r="I38" s="5" t="n"/>
      <c r="J38" s="10">
        <f>IF(AND(H38&lt;&gt;"",H38&lt;TODAY(),I38&lt;&gt;"Completed"),TODAY()-H38,0)</f>
        <v/>
      </c>
      <c r="K38" s="11" t="n"/>
      <c r="L38" s="5" t="n"/>
      <c r="M38" s="5" t="n"/>
      <c r="N38" s="5" t="n"/>
    </row>
    <row r="39">
      <c r="A39" s="10">
        <f>IF(B39&lt;&gt;"","REV-"&amp;TEXT(ROW()-8,"000"),"")</f>
        <v/>
      </c>
      <c r="B39" s="5" t="n"/>
      <c r="C39" s="5" t="n"/>
      <c r="D39" s="5" t="n"/>
      <c r="E39" s="5" t="n"/>
      <c r="F39" s="5" t="n"/>
      <c r="G39" s="4" t="n"/>
      <c r="H39" s="4" t="n"/>
      <c r="I39" s="5" t="n"/>
      <c r="J39" s="10">
        <f>IF(AND(H39&lt;&gt;"",H39&lt;TODAY(),I39&lt;&gt;"Completed"),TODAY()-H39,0)</f>
        <v/>
      </c>
      <c r="K39" s="11" t="n"/>
      <c r="L39" s="5" t="n"/>
      <c r="M39" s="5" t="n"/>
      <c r="N39" s="5" t="n"/>
    </row>
    <row r="40">
      <c r="A40" s="10">
        <f>IF(B40&lt;&gt;"","REV-"&amp;TEXT(ROW()-8,"000"),"")</f>
        <v/>
      </c>
      <c r="B40" s="5" t="n"/>
      <c r="C40" s="5" t="n"/>
      <c r="D40" s="5" t="n"/>
      <c r="E40" s="5" t="n"/>
      <c r="F40" s="5" t="n"/>
      <c r="G40" s="4" t="n"/>
      <c r="H40" s="4" t="n"/>
      <c r="I40" s="5" t="n"/>
      <c r="J40" s="10">
        <f>IF(AND(H40&lt;&gt;"",H40&lt;TODAY(),I40&lt;&gt;"Completed"),TODAY()-H40,0)</f>
        <v/>
      </c>
      <c r="K40" s="11" t="n"/>
      <c r="L40" s="5" t="n"/>
      <c r="M40" s="5" t="n"/>
      <c r="N40" s="5" t="n"/>
    </row>
    <row r="41">
      <c r="A41" s="10">
        <f>IF(B41&lt;&gt;"","REV-"&amp;TEXT(ROW()-8,"000"),"")</f>
        <v/>
      </c>
      <c r="B41" s="5" t="n"/>
      <c r="C41" s="5" t="n"/>
      <c r="D41" s="5" t="n"/>
      <c r="E41" s="5" t="n"/>
      <c r="F41" s="5" t="n"/>
      <c r="G41" s="4" t="n"/>
      <c r="H41" s="4" t="n"/>
      <c r="I41" s="5" t="n"/>
      <c r="J41" s="10">
        <f>IF(AND(H41&lt;&gt;"",H41&lt;TODAY(),I41&lt;&gt;"Completed"),TODAY()-H41,0)</f>
        <v/>
      </c>
      <c r="K41" s="11" t="n"/>
      <c r="L41" s="5" t="n"/>
      <c r="M41" s="5" t="n"/>
      <c r="N41" s="5" t="n"/>
    </row>
    <row r="42">
      <c r="A42" s="10">
        <f>IF(B42&lt;&gt;"","REV-"&amp;TEXT(ROW()-8,"000"),"")</f>
        <v/>
      </c>
      <c r="B42" s="5" t="n"/>
      <c r="C42" s="5" t="n"/>
      <c r="D42" s="5" t="n"/>
      <c r="E42" s="5" t="n"/>
      <c r="F42" s="5" t="n"/>
      <c r="G42" s="4" t="n"/>
      <c r="H42" s="4" t="n"/>
      <c r="I42" s="5" t="n"/>
      <c r="J42" s="10">
        <f>IF(AND(H42&lt;&gt;"",H42&lt;TODAY(),I42&lt;&gt;"Completed"),TODAY()-H42,0)</f>
        <v/>
      </c>
      <c r="K42" s="11" t="n"/>
      <c r="L42" s="5" t="n"/>
      <c r="M42" s="5" t="n"/>
      <c r="N42" s="5" t="n"/>
    </row>
    <row r="43">
      <c r="A43" s="10">
        <f>IF(B43&lt;&gt;"","REV-"&amp;TEXT(ROW()-8,"000"),"")</f>
        <v/>
      </c>
      <c r="B43" s="5" t="n"/>
      <c r="C43" s="5" t="n"/>
      <c r="D43" s="5" t="n"/>
      <c r="E43" s="5" t="n"/>
      <c r="F43" s="5" t="n"/>
      <c r="G43" s="4" t="n"/>
      <c r="H43" s="4" t="n"/>
      <c r="I43" s="5" t="n"/>
      <c r="J43" s="10">
        <f>IF(AND(H43&lt;&gt;"",H43&lt;TODAY(),I43&lt;&gt;"Completed"),TODAY()-H43,0)</f>
        <v/>
      </c>
      <c r="K43" s="11" t="n"/>
      <c r="L43" s="5" t="n"/>
      <c r="M43" s="5" t="n"/>
      <c r="N43" s="5" t="n"/>
    </row>
    <row r="44">
      <c r="A44" s="10">
        <f>IF(B44&lt;&gt;"","REV-"&amp;TEXT(ROW()-8,"000"),"")</f>
        <v/>
      </c>
      <c r="B44" s="5" t="n"/>
      <c r="C44" s="5" t="n"/>
      <c r="D44" s="5" t="n"/>
      <c r="E44" s="5" t="n"/>
      <c r="F44" s="5" t="n"/>
      <c r="G44" s="4" t="n"/>
      <c r="H44" s="4" t="n"/>
      <c r="I44" s="5" t="n"/>
      <c r="J44" s="10">
        <f>IF(AND(H44&lt;&gt;"",H44&lt;TODAY(),I44&lt;&gt;"Completed"),TODAY()-H44,0)</f>
        <v/>
      </c>
      <c r="K44" s="11" t="n"/>
      <c r="L44" s="5" t="n"/>
      <c r="M44" s="5" t="n"/>
      <c r="N44" s="5" t="n"/>
    </row>
    <row r="45">
      <c r="A45" s="10">
        <f>IF(B45&lt;&gt;"","REV-"&amp;TEXT(ROW()-8,"000"),"")</f>
        <v/>
      </c>
      <c r="B45" s="5" t="n"/>
      <c r="C45" s="5" t="n"/>
      <c r="D45" s="5" t="n"/>
      <c r="E45" s="5" t="n"/>
      <c r="F45" s="5" t="n"/>
      <c r="G45" s="4" t="n"/>
      <c r="H45" s="4" t="n"/>
      <c r="I45" s="5" t="n"/>
      <c r="J45" s="10">
        <f>IF(AND(H45&lt;&gt;"",H45&lt;TODAY(),I45&lt;&gt;"Completed"),TODAY()-H45,0)</f>
        <v/>
      </c>
      <c r="K45" s="11" t="n"/>
      <c r="L45" s="5" t="n"/>
      <c r="M45" s="5" t="n"/>
      <c r="N45" s="5" t="n"/>
    </row>
    <row r="46">
      <c r="A46" s="10">
        <f>IF(B46&lt;&gt;"","REV-"&amp;TEXT(ROW()-8,"000"),"")</f>
        <v/>
      </c>
      <c r="B46" s="5" t="n"/>
      <c r="C46" s="5" t="n"/>
      <c r="D46" s="5" t="n"/>
      <c r="E46" s="5" t="n"/>
      <c r="F46" s="5" t="n"/>
      <c r="G46" s="4" t="n"/>
      <c r="H46" s="4" t="n"/>
      <c r="I46" s="5" t="n"/>
      <c r="J46" s="10">
        <f>IF(AND(H46&lt;&gt;"",H46&lt;TODAY(),I46&lt;&gt;"Completed"),TODAY()-H46,0)</f>
        <v/>
      </c>
      <c r="K46" s="11" t="n"/>
      <c r="L46" s="5" t="n"/>
      <c r="M46" s="5" t="n"/>
      <c r="N46" s="5" t="n"/>
    </row>
    <row r="47">
      <c r="A47" s="10">
        <f>IF(B47&lt;&gt;"","REV-"&amp;TEXT(ROW()-8,"000"),"")</f>
        <v/>
      </c>
      <c r="B47" s="5" t="n"/>
      <c r="C47" s="5" t="n"/>
      <c r="D47" s="5" t="n"/>
      <c r="E47" s="5" t="n"/>
      <c r="F47" s="5" t="n"/>
      <c r="G47" s="4" t="n"/>
      <c r="H47" s="4" t="n"/>
      <c r="I47" s="5" t="n"/>
      <c r="J47" s="10">
        <f>IF(AND(H47&lt;&gt;"",H47&lt;TODAY(),I47&lt;&gt;"Completed"),TODAY()-H47,0)</f>
        <v/>
      </c>
      <c r="K47" s="11" t="n"/>
      <c r="L47" s="5" t="n"/>
      <c r="M47" s="5" t="n"/>
      <c r="N47" s="5" t="n"/>
    </row>
    <row r="48">
      <c r="A48" s="10">
        <f>IF(B48&lt;&gt;"","REV-"&amp;TEXT(ROW()-8,"000"),"")</f>
        <v/>
      </c>
      <c r="B48" s="5" t="n"/>
      <c r="C48" s="5" t="n"/>
      <c r="D48" s="5" t="n"/>
      <c r="E48" s="5" t="n"/>
      <c r="F48" s="5" t="n"/>
      <c r="G48" s="4" t="n"/>
      <c r="H48" s="4" t="n"/>
      <c r="I48" s="5" t="n"/>
      <c r="J48" s="10">
        <f>IF(AND(H48&lt;&gt;"",H48&lt;TODAY(),I48&lt;&gt;"Completed"),TODAY()-H48,0)</f>
        <v/>
      </c>
      <c r="K48" s="11" t="n"/>
      <c r="L48" s="5" t="n"/>
      <c r="M48" s="5" t="n"/>
      <c r="N48" s="5" t="n"/>
    </row>
    <row r="49">
      <c r="A49" s="10">
        <f>IF(B49&lt;&gt;"","REV-"&amp;TEXT(ROW()-8,"000"),"")</f>
        <v/>
      </c>
      <c r="B49" s="5" t="n"/>
      <c r="C49" s="5" t="n"/>
      <c r="D49" s="5" t="n"/>
      <c r="E49" s="5" t="n"/>
      <c r="F49" s="5" t="n"/>
      <c r="G49" s="4" t="n"/>
      <c r="H49" s="4" t="n"/>
      <c r="I49" s="5" t="n"/>
      <c r="J49" s="10">
        <f>IF(AND(H49&lt;&gt;"",H49&lt;TODAY(),I49&lt;&gt;"Completed"),TODAY()-H49,0)</f>
        <v/>
      </c>
      <c r="K49" s="11" t="n"/>
      <c r="L49" s="5" t="n"/>
      <c r="M49" s="5" t="n"/>
      <c r="N49" s="5" t="n"/>
    </row>
    <row r="50">
      <c r="A50" s="10">
        <f>IF(B50&lt;&gt;"","REV-"&amp;TEXT(ROW()-8,"000"),"")</f>
        <v/>
      </c>
      <c r="B50" s="5" t="n"/>
      <c r="C50" s="5" t="n"/>
      <c r="D50" s="5" t="n"/>
      <c r="E50" s="5" t="n"/>
      <c r="F50" s="5" t="n"/>
      <c r="G50" s="4" t="n"/>
      <c r="H50" s="4" t="n"/>
      <c r="I50" s="5" t="n"/>
      <c r="J50" s="10">
        <f>IF(AND(H50&lt;&gt;"",H50&lt;TODAY(),I50&lt;&gt;"Completed"),TODAY()-H50,0)</f>
        <v/>
      </c>
      <c r="K50" s="11" t="n"/>
      <c r="L50" s="5" t="n"/>
      <c r="M50" s="5" t="n"/>
      <c r="N50" s="5" t="n"/>
    </row>
    <row r="51">
      <c r="A51" s="10">
        <f>IF(B51&lt;&gt;"","REV-"&amp;TEXT(ROW()-8,"000"),"")</f>
        <v/>
      </c>
      <c r="B51" s="5" t="n"/>
      <c r="C51" s="5" t="n"/>
      <c r="D51" s="5" t="n"/>
      <c r="E51" s="5" t="n"/>
      <c r="F51" s="5" t="n"/>
      <c r="G51" s="4" t="n"/>
      <c r="H51" s="4" t="n"/>
      <c r="I51" s="5" t="n"/>
      <c r="J51" s="10">
        <f>IF(AND(H51&lt;&gt;"",H51&lt;TODAY(),I51&lt;&gt;"Completed"),TODAY()-H51,0)</f>
        <v/>
      </c>
      <c r="K51" s="11" t="n"/>
      <c r="L51" s="5" t="n"/>
      <c r="M51" s="5" t="n"/>
      <c r="N51" s="5" t="n"/>
    </row>
    <row r="52">
      <c r="A52" s="10">
        <f>IF(B52&lt;&gt;"","REV-"&amp;TEXT(ROW()-8,"000"),"")</f>
        <v/>
      </c>
      <c r="B52" s="5" t="n"/>
      <c r="C52" s="5" t="n"/>
      <c r="D52" s="5" t="n"/>
      <c r="E52" s="5" t="n"/>
      <c r="F52" s="5" t="n"/>
      <c r="G52" s="4" t="n"/>
      <c r="H52" s="4" t="n"/>
      <c r="I52" s="5" t="n"/>
      <c r="J52" s="10">
        <f>IF(AND(H52&lt;&gt;"",H52&lt;TODAY(),I52&lt;&gt;"Completed"),TODAY()-H52,0)</f>
        <v/>
      </c>
      <c r="K52" s="11" t="n"/>
      <c r="L52" s="5" t="n"/>
      <c r="M52" s="5" t="n"/>
      <c r="N52" s="5" t="n"/>
    </row>
    <row r="53">
      <c r="A53" s="10">
        <f>IF(B53&lt;&gt;"","REV-"&amp;TEXT(ROW()-8,"000"),"")</f>
        <v/>
      </c>
      <c r="B53" s="5" t="n"/>
      <c r="C53" s="5" t="n"/>
      <c r="D53" s="5" t="n"/>
      <c r="E53" s="5" t="n"/>
      <c r="F53" s="5" t="n"/>
      <c r="G53" s="4" t="n"/>
      <c r="H53" s="4" t="n"/>
      <c r="I53" s="5" t="n"/>
      <c r="J53" s="10">
        <f>IF(AND(H53&lt;&gt;"",H53&lt;TODAY(),I53&lt;&gt;"Completed"),TODAY()-H53,0)</f>
        <v/>
      </c>
      <c r="K53" s="11" t="n"/>
      <c r="L53" s="5" t="n"/>
      <c r="M53" s="5" t="n"/>
      <c r="N53" s="5" t="n"/>
    </row>
    <row r="54">
      <c r="A54" s="10">
        <f>IF(B54&lt;&gt;"","REV-"&amp;TEXT(ROW()-8,"000"),"")</f>
        <v/>
      </c>
      <c r="B54" s="5" t="n"/>
      <c r="C54" s="5" t="n"/>
      <c r="D54" s="5" t="n"/>
      <c r="E54" s="5" t="n"/>
      <c r="F54" s="5" t="n"/>
      <c r="G54" s="4" t="n"/>
      <c r="H54" s="4" t="n"/>
      <c r="I54" s="5" t="n"/>
      <c r="J54" s="10">
        <f>IF(AND(H54&lt;&gt;"",H54&lt;TODAY(),I54&lt;&gt;"Completed"),TODAY()-H54,0)</f>
        <v/>
      </c>
      <c r="K54" s="11" t="n"/>
      <c r="L54" s="5" t="n"/>
      <c r="M54" s="5" t="n"/>
      <c r="N54" s="5" t="n"/>
    </row>
    <row r="55">
      <c r="A55" s="10">
        <f>IF(B55&lt;&gt;"","REV-"&amp;TEXT(ROW()-8,"000"),"")</f>
        <v/>
      </c>
      <c r="B55" s="5" t="n"/>
      <c r="C55" s="5" t="n"/>
      <c r="D55" s="5" t="n"/>
      <c r="E55" s="5" t="n"/>
      <c r="F55" s="5" t="n"/>
      <c r="G55" s="4" t="n"/>
      <c r="H55" s="4" t="n"/>
      <c r="I55" s="5" t="n"/>
      <c r="J55" s="10">
        <f>IF(AND(H55&lt;&gt;"",H55&lt;TODAY(),I55&lt;&gt;"Completed"),TODAY()-H55,0)</f>
        <v/>
      </c>
      <c r="K55" s="11" t="n"/>
      <c r="L55" s="5" t="n"/>
      <c r="M55" s="5" t="n"/>
      <c r="N55" s="5" t="n"/>
    </row>
    <row r="56">
      <c r="A56" s="10">
        <f>IF(B56&lt;&gt;"","REV-"&amp;TEXT(ROW()-8,"000"),"")</f>
        <v/>
      </c>
      <c r="B56" s="5" t="n"/>
      <c r="C56" s="5" t="n"/>
      <c r="D56" s="5" t="n"/>
      <c r="E56" s="5" t="n"/>
      <c r="F56" s="5" t="n"/>
      <c r="G56" s="4" t="n"/>
      <c r="H56" s="4" t="n"/>
      <c r="I56" s="5" t="n"/>
      <c r="J56" s="10">
        <f>IF(AND(H56&lt;&gt;"",H56&lt;TODAY(),I56&lt;&gt;"Completed"),TODAY()-H56,0)</f>
        <v/>
      </c>
      <c r="K56" s="11" t="n"/>
      <c r="L56" s="5" t="n"/>
      <c r="M56" s="5" t="n"/>
      <c r="N56" s="5" t="n"/>
    </row>
    <row r="57">
      <c r="A57" s="10">
        <f>IF(B57&lt;&gt;"","REV-"&amp;TEXT(ROW()-8,"000"),"")</f>
        <v/>
      </c>
      <c r="B57" s="5" t="n"/>
      <c r="C57" s="5" t="n"/>
      <c r="D57" s="5" t="n"/>
      <c r="E57" s="5" t="n"/>
      <c r="F57" s="5" t="n"/>
      <c r="G57" s="4" t="n"/>
      <c r="H57" s="4" t="n"/>
      <c r="I57" s="5" t="n"/>
      <c r="J57" s="10">
        <f>IF(AND(H57&lt;&gt;"",H57&lt;TODAY(),I57&lt;&gt;"Completed"),TODAY()-H57,0)</f>
        <v/>
      </c>
      <c r="K57" s="11" t="n"/>
      <c r="L57" s="5" t="n"/>
      <c r="M57" s="5" t="n"/>
      <c r="N57" s="5" t="n"/>
    </row>
    <row r="58">
      <c r="A58" s="10">
        <f>IF(B58&lt;&gt;"","REV-"&amp;TEXT(ROW()-8,"000"),"")</f>
        <v/>
      </c>
      <c r="B58" s="5" t="n"/>
      <c r="C58" s="5" t="n"/>
      <c r="D58" s="5" t="n"/>
      <c r="E58" s="5" t="n"/>
      <c r="F58" s="5" t="n"/>
      <c r="G58" s="4" t="n"/>
      <c r="H58" s="4" t="n"/>
      <c r="I58" s="5" t="n"/>
      <c r="J58" s="10">
        <f>IF(AND(H58&lt;&gt;"",H58&lt;TODAY(),I58&lt;&gt;"Completed"),TODAY()-H58,0)</f>
        <v/>
      </c>
      <c r="K58" s="11" t="n"/>
      <c r="L58" s="5" t="n"/>
      <c r="M58" s="5" t="n"/>
      <c r="N58" s="5" t="n"/>
    </row>
    <row r="59">
      <c r="A59" s="10">
        <f>IF(B59&lt;&gt;"","REV-"&amp;TEXT(ROW()-8,"000"),"")</f>
        <v/>
      </c>
      <c r="B59" s="5" t="n"/>
      <c r="C59" s="5" t="n"/>
      <c r="D59" s="5" t="n"/>
      <c r="E59" s="5" t="n"/>
      <c r="F59" s="5" t="n"/>
      <c r="G59" s="4" t="n"/>
      <c r="H59" s="4" t="n"/>
      <c r="I59" s="5" t="n"/>
      <c r="J59" s="10">
        <f>IF(AND(H59&lt;&gt;"",H59&lt;TODAY(),I59&lt;&gt;"Completed"),TODAY()-H59,0)</f>
        <v/>
      </c>
      <c r="K59" s="11" t="n"/>
      <c r="L59" s="5" t="n"/>
      <c r="M59" s="5" t="n"/>
      <c r="N59" s="5" t="n"/>
    </row>
    <row r="60">
      <c r="A60" s="10">
        <f>IF(B60&lt;&gt;"","REV-"&amp;TEXT(ROW()-8,"000"),"")</f>
        <v/>
      </c>
      <c r="B60" s="5" t="n"/>
      <c r="C60" s="5" t="n"/>
      <c r="D60" s="5" t="n"/>
      <c r="E60" s="5" t="n"/>
      <c r="F60" s="5" t="n"/>
      <c r="G60" s="4" t="n"/>
      <c r="H60" s="4" t="n"/>
      <c r="I60" s="5" t="n"/>
      <c r="J60" s="10">
        <f>IF(AND(H60&lt;&gt;"",H60&lt;TODAY(),I60&lt;&gt;"Completed"),TODAY()-H60,0)</f>
        <v/>
      </c>
      <c r="K60" s="11" t="n"/>
      <c r="L60" s="5" t="n"/>
      <c r="M60" s="5" t="n"/>
      <c r="N60" s="5" t="n"/>
    </row>
    <row r="61">
      <c r="A61" s="10">
        <f>IF(B61&lt;&gt;"","REV-"&amp;TEXT(ROW()-8,"000"),"")</f>
        <v/>
      </c>
      <c r="B61" s="5" t="n"/>
      <c r="C61" s="5" t="n"/>
      <c r="D61" s="5" t="n"/>
      <c r="E61" s="5" t="n"/>
      <c r="F61" s="5" t="n"/>
      <c r="G61" s="4" t="n"/>
      <c r="H61" s="4" t="n"/>
      <c r="I61" s="5" t="n"/>
      <c r="J61" s="10">
        <f>IF(AND(H61&lt;&gt;"",H61&lt;TODAY(),I61&lt;&gt;"Completed"),TODAY()-H61,0)</f>
        <v/>
      </c>
      <c r="K61" s="11" t="n"/>
      <c r="L61" s="5" t="n"/>
      <c r="M61" s="5" t="n"/>
      <c r="N61" s="5" t="n"/>
    </row>
    <row r="62">
      <c r="A62" s="10">
        <f>IF(B62&lt;&gt;"","REV-"&amp;TEXT(ROW()-8,"000"),"")</f>
        <v/>
      </c>
      <c r="B62" s="5" t="n"/>
      <c r="C62" s="5" t="n"/>
      <c r="D62" s="5" t="n"/>
      <c r="E62" s="5" t="n"/>
      <c r="F62" s="5" t="n"/>
      <c r="G62" s="4" t="n"/>
      <c r="H62" s="4" t="n"/>
      <c r="I62" s="5" t="n"/>
      <c r="J62" s="10">
        <f>IF(AND(H62&lt;&gt;"",H62&lt;TODAY(),I62&lt;&gt;"Completed"),TODAY()-H62,0)</f>
        <v/>
      </c>
      <c r="K62" s="11" t="n"/>
      <c r="L62" s="5" t="n"/>
      <c r="M62" s="5" t="n"/>
      <c r="N62" s="5" t="n"/>
    </row>
    <row r="63">
      <c r="A63" s="10">
        <f>IF(B63&lt;&gt;"","REV-"&amp;TEXT(ROW()-8,"000"),"")</f>
        <v/>
      </c>
      <c r="B63" s="5" t="n"/>
      <c r="C63" s="5" t="n"/>
      <c r="D63" s="5" t="n"/>
      <c r="E63" s="5" t="n"/>
      <c r="F63" s="5" t="n"/>
      <c r="G63" s="4" t="n"/>
      <c r="H63" s="4" t="n"/>
      <c r="I63" s="5" t="n"/>
      <c r="J63" s="10">
        <f>IF(AND(H63&lt;&gt;"",H63&lt;TODAY(),I63&lt;&gt;"Completed"),TODAY()-H63,0)</f>
        <v/>
      </c>
      <c r="K63" s="11" t="n"/>
      <c r="L63" s="5" t="n"/>
      <c r="M63" s="5" t="n"/>
      <c r="N63" s="5" t="n"/>
    </row>
    <row r="64">
      <c r="A64" s="10">
        <f>IF(B64&lt;&gt;"","REV-"&amp;TEXT(ROW()-8,"000"),"")</f>
        <v/>
      </c>
      <c r="B64" s="5" t="n"/>
      <c r="C64" s="5" t="n"/>
      <c r="D64" s="5" t="n"/>
      <c r="E64" s="5" t="n"/>
      <c r="F64" s="5" t="n"/>
      <c r="G64" s="4" t="n"/>
      <c r="H64" s="4" t="n"/>
      <c r="I64" s="5" t="n"/>
      <c r="J64" s="10">
        <f>IF(AND(H64&lt;&gt;"",H64&lt;TODAY(),I64&lt;&gt;"Completed"),TODAY()-H64,0)</f>
        <v/>
      </c>
      <c r="K64" s="11" t="n"/>
      <c r="L64" s="5" t="n"/>
      <c r="M64" s="5" t="n"/>
      <c r="N64" s="5" t="n"/>
    </row>
    <row r="65">
      <c r="A65" s="10">
        <f>IF(B65&lt;&gt;"","REV-"&amp;TEXT(ROW()-8,"000"),"")</f>
        <v/>
      </c>
      <c r="B65" s="5" t="n"/>
      <c r="C65" s="5" t="n"/>
      <c r="D65" s="5" t="n"/>
      <c r="E65" s="5" t="n"/>
      <c r="F65" s="5" t="n"/>
      <c r="G65" s="4" t="n"/>
      <c r="H65" s="4" t="n"/>
      <c r="I65" s="5" t="n"/>
      <c r="J65" s="10">
        <f>IF(AND(H65&lt;&gt;"",H65&lt;TODAY(),I65&lt;&gt;"Completed"),TODAY()-H65,0)</f>
        <v/>
      </c>
      <c r="K65" s="11" t="n"/>
      <c r="L65" s="5" t="n"/>
      <c r="M65" s="5" t="n"/>
      <c r="N65" s="5" t="n"/>
    </row>
    <row r="66">
      <c r="A66" s="10">
        <f>IF(B66&lt;&gt;"","REV-"&amp;TEXT(ROW()-8,"000"),"")</f>
        <v/>
      </c>
      <c r="B66" s="5" t="n"/>
      <c r="C66" s="5" t="n"/>
      <c r="D66" s="5" t="n"/>
      <c r="E66" s="5" t="n"/>
      <c r="F66" s="5" t="n"/>
      <c r="G66" s="4" t="n"/>
      <c r="H66" s="4" t="n"/>
      <c r="I66" s="5" t="n"/>
      <c r="J66" s="10">
        <f>IF(AND(H66&lt;&gt;"",H66&lt;TODAY(),I66&lt;&gt;"Completed"),TODAY()-H66,0)</f>
        <v/>
      </c>
      <c r="K66" s="11" t="n"/>
      <c r="L66" s="5" t="n"/>
      <c r="M66" s="5" t="n"/>
      <c r="N66" s="5" t="n"/>
    </row>
    <row r="67">
      <c r="A67" s="10">
        <f>IF(B67&lt;&gt;"","REV-"&amp;TEXT(ROW()-8,"000"),"")</f>
        <v/>
      </c>
      <c r="B67" s="5" t="n"/>
      <c r="C67" s="5" t="n"/>
      <c r="D67" s="5" t="n"/>
      <c r="E67" s="5" t="n"/>
      <c r="F67" s="5" t="n"/>
      <c r="G67" s="4" t="n"/>
      <c r="H67" s="4" t="n"/>
      <c r="I67" s="5" t="n"/>
      <c r="J67" s="10">
        <f>IF(AND(H67&lt;&gt;"",H67&lt;TODAY(),I67&lt;&gt;"Completed"),TODAY()-H67,0)</f>
        <v/>
      </c>
      <c r="K67" s="11" t="n"/>
      <c r="L67" s="5" t="n"/>
      <c r="M67" s="5" t="n"/>
      <c r="N67" s="5" t="n"/>
    </row>
    <row r="68">
      <c r="A68" s="10">
        <f>IF(B68&lt;&gt;"","REV-"&amp;TEXT(ROW()-8,"000"),"")</f>
        <v/>
      </c>
      <c r="B68" s="5" t="n"/>
      <c r="C68" s="5" t="n"/>
      <c r="D68" s="5" t="n"/>
      <c r="E68" s="5" t="n"/>
      <c r="F68" s="5" t="n"/>
      <c r="G68" s="4" t="n"/>
      <c r="H68" s="4" t="n"/>
      <c r="I68" s="5" t="n"/>
      <c r="J68" s="10">
        <f>IF(AND(H68&lt;&gt;"",H68&lt;TODAY(),I68&lt;&gt;"Completed"),TODAY()-H68,0)</f>
        <v/>
      </c>
      <c r="K68" s="11" t="n"/>
      <c r="L68" s="5" t="n"/>
      <c r="M68" s="5" t="n"/>
      <c r="N68" s="5" t="n"/>
    </row>
    <row r="69">
      <c r="A69" s="10">
        <f>IF(B69&lt;&gt;"","REV-"&amp;TEXT(ROW()-8,"000"),"")</f>
        <v/>
      </c>
      <c r="B69" s="5" t="n"/>
      <c r="C69" s="5" t="n"/>
      <c r="D69" s="5" t="n"/>
      <c r="E69" s="5" t="n"/>
      <c r="F69" s="5" t="n"/>
      <c r="G69" s="4" t="n"/>
      <c r="H69" s="4" t="n"/>
      <c r="I69" s="5" t="n"/>
      <c r="J69" s="10">
        <f>IF(AND(H69&lt;&gt;"",H69&lt;TODAY(),I69&lt;&gt;"Completed"),TODAY()-H69,0)</f>
        <v/>
      </c>
      <c r="K69" s="11" t="n"/>
      <c r="L69" s="5" t="n"/>
      <c r="M69" s="5" t="n"/>
      <c r="N69" s="5" t="n"/>
    </row>
    <row r="70">
      <c r="A70" s="10">
        <f>IF(B70&lt;&gt;"","REV-"&amp;TEXT(ROW()-8,"000"),"")</f>
        <v/>
      </c>
      <c r="B70" s="5" t="n"/>
      <c r="C70" s="5" t="n"/>
      <c r="D70" s="5" t="n"/>
      <c r="E70" s="5" t="n"/>
      <c r="F70" s="5" t="n"/>
      <c r="G70" s="4" t="n"/>
      <c r="H70" s="4" t="n"/>
      <c r="I70" s="5" t="n"/>
      <c r="J70" s="10">
        <f>IF(AND(H70&lt;&gt;"",H70&lt;TODAY(),I70&lt;&gt;"Completed"),TODAY()-H70,0)</f>
        <v/>
      </c>
      <c r="K70" s="11" t="n"/>
      <c r="L70" s="5" t="n"/>
      <c r="M70" s="5" t="n"/>
      <c r="N70" s="5" t="n"/>
    </row>
    <row r="71">
      <c r="A71" s="10">
        <f>IF(B71&lt;&gt;"","REV-"&amp;TEXT(ROW()-8,"000"),"")</f>
        <v/>
      </c>
      <c r="B71" s="5" t="n"/>
      <c r="C71" s="5" t="n"/>
      <c r="D71" s="5" t="n"/>
      <c r="E71" s="5" t="n"/>
      <c r="F71" s="5" t="n"/>
      <c r="G71" s="4" t="n"/>
      <c r="H71" s="4" t="n"/>
      <c r="I71" s="5" t="n"/>
      <c r="J71" s="10">
        <f>IF(AND(H71&lt;&gt;"",H71&lt;TODAY(),I71&lt;&gt;"Completed"),TODAY()-H71,0)</f>
        <v/>
      </c>
      <c r="K71" s="11" t="n"/>
      <c r="L71" s="5" t="n"/>
      <c r="M71" s="5" t="n"/>
      <c r="N71" s="5" t="n"/>
    </row>
    <row r="72">
      <c r="A72" s="10">
        <f>IF(B72&lt;&gt;"","REV-"&amp;TEXT(ROW()-8,"000"),"")</f>
        <v/>
      </c>
      <c r="B72" s="5" t="n"/>
      <c r="C72" s="5" t="n"/>
      <c r="D72" s="5" t="n"/>
      <c r="E72" s="5" t="n"/>
      <c r="F72" s="5" t="n"/>
      <c r="G72" s="4" t="n"/>
      <c r="H72" s="4" t="n"/>
      <c r="I72" s="5" t="n"/>
      <c r="J72" s="10">
        <f>IF(AND(H72&lt;&gt;"",H72&lt;TODAY(),I72&lt;&gt;"Completed"),TODAY()-H72,0)</f>
        <v/>
      </c>
      <c r="K72" s="11" t="n"/>
      <c r="L72" s="5" t="n"/>
      <c r="M72" s="5" t="n"/>
      <c r="N72" s="5" t="n"/>
    </row>
    <row r="73">
      <c r="A73" s="10">
        <f>IF(B73&lt;&gt;"","REV-"&amp;TEXT(ROW()-8,"000"),"")</f>
        <v/>
      </c>
      <c r="B73" s="5" t="n"/>
      <c r="C73" s="5" t="n"/>
      <c r="D73" s="5" t="n"/>
      <c r="E73" s="5" t="n"/>
      <c r="F73" s="5" t="n"/>
      <c r="G73" s="4" t="n"/>
      <c r="H73" s="4" t="n"/>
      <c r="I73" s="5" t="n"/>
      <c r="J73" s="10">
        <f>IF(AND(H73&lt;&gt;"",H73&lt;TODAY(),I73&lt;&gt;"Completed"),TODAY()-H73,0)</f>
        <v/>
      </c>
      <c r="K73" s="11" t="n"/>
      <c r="L73" s="5" t="n"/>
      <c r="M73" s="5" t="n"/>
      <c r="N73" s="5" t="n"/>
    </row>
    <row r="74">
      <c r="A74" s="10">
        <f>IF(B74&lt;&gt;"","REV-"&amp;TEXT(ROW()-8,"000"),"")</f>
        <v/>
      </c>
      <c r="B74" s="5" t="n"/>
      <c r="C74" s="5" t="n"/>
      <c r="D74" s="5" t="n"/>
      <c r="E74" s="5" t="n"/>
      <c r="F74" s="5" t="n"/>
      <c r="G74" s="4" t="n"/>
      <c r="H74" s="4" t="n"/>
      <c r="I74" s="5" t="n"/>
      <c r="J74" s="10">
        <f>IF(AND(H74&lt;&gt;"",H74&lt;TODAY(),I74&lt;&gt;"Completed"),TODAY()-H74,0)</f>
        <v/>
      </c>
      <c r="K74" s="11" t="n"/>
      <c r="L74" s="5" t="n"/>
      <c r="M74" s="5" t="n"/>
      <c r="N74" s="5" t="n"/>
    </row>
    <row r="75">
      <c r="A75" s="10">
        <f>IF(B75&lt;&gt;"","REV-"&amp;TEXT(ROW()-8,"000"),"")</f>
        <v/>
      </c>
      <c r="B75" s="5" t="n"/>
      <c r="C75" s="5" t="n"/>
      <c r="D75" s="5" t="n"/>
      <c r="E75" s="5" t="n"/>
      <c r="F75" s="5" t="n"/>
      <c r="G75" s="4" t="n"/>
      <c r="H75" s="4" t="n"/>
      <c r="I75" s="5" t="n"/>
      <c r="J75" s="10">
        <f>IF(AND(H75&lt;&gt;"",H75&lt;TODAY(),I75&lt;&gt;"Completed"),TODAY()-H75,0)</f>
        <v/>
      </c>
      <c r="K75" s="11" t="n"/>
      <c r="L75" s="5" t="n"/>
      <c r="M75" s="5" t="n"/>
      <c r="N75" s="5" t="n"/>
    </row>
    <row r="76">
      <c r="A76" s="10">
        <f>IF(B76&lt;&gt;"","REV-"&amp;TEXT(ROW()-8,"000"),"")</f>
        <v/>
      </c>
      <c r="B76" s="5" t="n"/>
      <c r="C76" s="5" t="n"/>
      <c r="D76" s="5" t="n"/>
      <c r="E76" s="5" t="n"/>
      <c r="F76" s="5" t="n"/>
      <c r="G76" s="4" t="n"/>
      <c r="H76" s="4" t="n"/>
      <c r="I76" s="5" t="n"/>
      <c r="J76" s="10">
        <f>IF(AND(H76&lt;&gt;"",H76&lt;TODAY(),I76&lt;&gt;"Completed"),TODAY()-H76,0)</f>
        <v/>
      </c>
      <c r="K76" s="11" t="n"/>
      <c r="L76" s="5" t="n"/>
      <c r="M76" s="5" t="n"/>
      <c r="N76" s="5" t="n"/>
    </row>
    <row r="77">
      <c r="A77" s="10">
        <f>IF(B77&lt;&gt;"","REV-"&amp;TEXT(ROW()-8,"000"),"")</f>
        <v/>
      </c>
      <c r="B77" s="5" t="n"/>
      <c r="C77" s="5" t="n"/>
      <c r="D77" s="5" t="n"/>
      <c r="E77" s="5" t="n"/>
      <c r="F77" s="5" t="n"/>
      <c r="G77" s="4" t="n"/>
      <c r="H77" s="4" t="n"/>
      <c r="I77" s="5" t="n"/>
      <c r="J77" s="10">
        <f>IF(AND(H77&lt;&gt;"",H77&lt;TODAY(),I77&lt;&gt;"Completed"),TODAY()-H77,0)</f>
        <v/>
      </c>
      <c r="K77" s="11" t="n"/>
      <c r="L77" s="5" t="n"/>
      <c r="M77" s="5" t="n"/>
      <c r="N77" s="5" t="n"/>
    </row>
    <row r="78">
      <c r="A78" s="10">
        <f>IF(B78&lt;&gt;"","REV-"&amp;TEXT(ROW()-8,"000"),"")</f>
        <v/>
      </c>
      <c r="B78" s="5" t="n"/>
      <c r="C78" s="5" t="n"/>
      <c r="D78" s="5" t="n"/>
      <c r="E78" s="5" t="n"/>
      <c r="F78" s="5" t="n"/>
      <c r="G78" s="4" t="n"/>
      <c r="H78" s="4" t="n"/>
      <c r="I78" s="5" t="n"/>
      <c r="J78" s="10">
        <f>IF(AND(H78&lt;&gt;"",H78&lt;TODAY(),I78&lt;&gt;"Completed"),TODAY()-H78,0)</f>
        <v/>
      </c>
      <c r="K78" s="11" t="n"/>
      <c r="L78" s="5" t="n"/>
      <c r="M78" s="5" t="n"/>
      <c r="N78" s="5" t="n"/>
    </row>
    <row r="79">
      <c r="A79" s="10">
        <f>IF(B79&lt;&gt;"","REV-"&amp;TEXT(ROW()-8,"000"),"")</f>
        <v/>
      </c>
      <c r="B79" s="5" t="n"/>
      <c r="C79" s="5" t="n"/>
      <c r="D79" s="5" t="n"/>
      <c r="E79" s="5" t="n"/>
      <c r="F79" s="5" t="n"/>
      <c r="G79" s="4" t="n"/>
      <c r="H79" s="4" t="n"/>
      <c r="I79" s="5" t="n"/>
      <c r="J79" s="10">
        <f>IF(AND(H79&lt;&gt;"",H79&lt;TODAY(),I79&lt;&gt;"Completed"),TODAY()-H79,0)</f>
        <v/>
      </c>
      <c r="K79" s="11" t="n"/>
      <c r="L79" s="5" t="n"/>
      <c r="M79" s="5" t="n"/>
      <c r="N79" s="5" t="n"/>
    </row>
    <row r="80">
      <c r="A80" s="10">
        <f>IF(B80&lt;&gt;"","REV-"&amp;TEXT(ROW()-8,"000"),"")</f>
        <v/>
      </c>
      <c r="B80" s="5" t="n"/>
      <c r="C80" s="5" t="n"/>
      <c r="D80" s="5" t="n"/>
      <c r="E80" s="5" t="n"/>
      <c r="F80" s="5" t="n"/>
      <c r="G80" s="4" t="n"/>
      <c r="H80" s="4" t="n"/>
      <c r="I80" s="5" t="n"/>
      <c r="J80" s="10">
        <f>IF(AND(H80&lt;&gt;"",H80&lt;TODAY(),I80&lt;&gt;"Completed"),TODAY()-H80,0)</f>
        <v/>
      </c>
      <c r="K80" s="11" t="n"/>
      <c r="L80" s="5" t="n"/>
      <c r="M80" s="5" t="n"/>
      <c r="N80" s="5" t="n"/>
    </row>
    <row r="81">
      <c r="A81" s="10">
        <f>IF(B81&lt;&gt;"","REV-"&amp;TEXT(ROW()-8,"000"),"")</f>
        <v/>
      </c>
      <c r="B81" s="5" t="n"/>
      <c r="C81" s="5" t="n"/>
      <c r="D81" s="5" t="n"/>
      <c r="E81" s="5" t="n"/>
      <c r="F81" s="5" t="n"/>
      <c r="G81" s="4" t="n"/>
      <c r="H81" s="4" t="n"/>
      <c r="I81" s="5" t="n"/>
      <c r="J81" s="10">
        <f>IF(AND(H81&lt;&gt;"",H81&lt;TODAY(),I81&lt;&gt;"Completed"),TODAY()-H81,0)</f>
        <v/>
      </c>
      <c r="K81" s="11" t="n"/>
      <c r="L81" s="5" t="n"/>
      <c r="M81" s="5" t="n"/>
      <c r="N81" s="5" t="n"/>
    </row>
    <row r="82">
      <c r="A82" s="10">
        <f>IF(B82&lt;&gt;"","REV-"&amp;TEXT(ROW()-8,"000"),"")</f>
        <v/>
      </c>
      <c r="B82" s="5" t="n"/>
      <c r="C82" s="5" t="n"/>
      <c r="D82" s="5" t="n"/>
      <c r="E82" s="5" t="n"/>
      <c r="F82" s="5" t="n"/>
      <c r="G82" s="4" t="n"/>
      <c r="H82" s="4" t="n"/>
      <c r="I82" s="5" t="n"/>
      <c r="J82" s="10">
        <f>IF(AND(H82&lt;&gt;"",H82&lt;TODAY(),I82&lt;&gt;"Completed"),TODAY()-H82,0)</f>
        <v/>
      </c>
      <c r="K82" s="11" t="n"/>
      <c r="L82" s="5" t="n"/>
      <c r="M82" s="5" t="n"/>
      <c r="N82" s="5" t="n"/>
    </row>
    <row r="83">
      <c r="A83" s="10">
        <f>IF(B83&lt;&gt;"","REV-"&amp;TEXT(ROW()-8,"000"),"")</f>
        <v/>
      </c>
      <c r="B83" s="5" t="n"/>
      <c r="C83" s="5" t="n"/>
      <c r="D83" s="5" t="n"/>
      <c r="E83" s="5" t="n"/>
      <c r="F83" s="5" t="n"/>
      <c r="G83" s="4" t="n"/>
      <c r="H83" s="4" t="n"/>
      <c r="I83" s="5" t="n"/>
      <c r="J83" s="10">
        <f>IF(AND(H83&lt;&gt;"",H83&lt;TODAY(),I83&lt;&gt;"Completed"),TODAY()-H83,0)</f>
        <v/>
      </c>
      <c r="K83" s="11" t="n"/>
      <c r="L83" s="5" t="n"/>
      <c r="M83" s="5" t="n"/>
      <c r="N83" s="5" t="n"/>
    </row>
    <row r="84">
      <c r="A84" s="10">
        <f>IF(B84&lt;&gt;"","REV-"&amp;TEXT(ROW()-8,"000"),"")</f>
        <v/>
      </c>
      <c r="B84" s="5" t="n"/>
      <c r="C84" s="5" t="n"/>
      <c r="D84" s="5" t="n"/>
      <c r="E84" s="5" t="n"/>
      <c r="F84" s="5" t="n"/>
      <c r="G84" s="4" t="n"/>
      <c r="H84" s="4" t="n"/>
      <c r="I84" s="5" t="n"/>
      <c r="J84" s="10">
        <f>IF(AND(H84&lt;&gt;"",H84&lt;TODAY(),I84&lt;&gt;"Completed"),TODAY()-H84,0)</f>
        <v/>
      </c>
      <c r="K84" s="11" t="n"/>
      <c r="L84" s="5" t="n"/>
      <c r="M84" s="5" t="n"/>
      <c r="N84" s="5" t="n"/>
    </row>
    <row r="85">
      <c r="A85" s="10">
        <f>IF(B85&lt;&gt;"","REV-"&amp;TEXT(ROW()-8,"000"),"")</f>
        <v/>
      </c>
      <c r="B85" s="5" t="n"/>
      <c r="C85" s="5" t="n"/>
      <c r="D85" s="5" t="n"/>
      <c r="E85" s="5" t="n"/>
      <c r="F85" s="5" t="n"/>
      <c r="G85" s="4" t="n"/>
      <c r="H85" s="4" t="n"/>
      <c r="I85" s="5" t="n"/>
      <c r="J85" s="10">
        <f>IF(AND(H85&lt;&gt;"",H85&lt;TODAY(),I85&lt;&gt;"Completed"),TODAY()-H85,0)</f>
        <v/>
      </c>
      <c r="K85" s="11" t="n"/>
      <c r="L85" s="5" t="n"/>
      <c r="M85" s="5" t="n"/>
      <c r="N85" s="5" t="n"/>
    </row>
    <row r="86">
      <c r="A86" s="10">
        <f>IF(B86&lt;&gt;"","REV-"&amp;TEXT(ROW()-8,"000"),"")</f>
        <v/>
      </c>
      <c r="B86" s="5" t="n"/>
      <c r="C86" s="5" t="n"/>
      <c r="D86" s="5" t="n"/>
      <c r="E86" s="5" t="n"/>
      <c r="F86" s="5" t="n"/>
      <c r="G86" s="4" t="n"/>
      <c r="H86" s="4" t="n"/>
      <c r="I86" s="5" t="n"/>
      <c r="J86" s="10">
        <f>IF(AND(H86&lt;&gt;"",H86&lt;TODAY(),I86&lt;&gt;"Completed"),TODAY()-H86,0)</f>
        <v/>
      </c>
      <c r="K86" s="11" t="n"/>
      <c r="L86" s="5" t="n"/>
      <c r="M86" s="5" t="n"/>
      <c r="N86" s="5" t="n"/>
    </row>
    <row r="87">
      <c r="A87" s="10">
        <f>IF(B87&lt;&gt;"","REV-"&amp;TEXT(ROW()-8,"000"),"")</f>
        <v/>
      </c>
      <c r="B87" s="5" t="n"/>
      <c r="C87" s="5" t="n"/>
      <c r="D87" s="5" t="n"/>
      <c r="E87" s="5" t="n"/>
      <c r="F87" s="5" t="n"/>
      <c r="G87" s="4" t="n"/>
      <c r="H87" s="4" t="n"/>
      <c r="I87" s="5" t="n"/>
      <c r="J87" s="10">
        <f>IF(AND(H87&lt;&gt;"",H87&lt;TODAY(),I87&lt;&gt;"Completed"),TODAY()-H87,0)</f>
        <v/>
      </c>
      <c r="K87" s="11" t="n"/>
      <c r="L87" s="5" t="n"/>
      <c r="M87" s="5" t="n"/>
      <c r="N87" s="5" t="n"/>
    </row>
    <row r="88">
      <c r="A88" s="10">
        <f>IF(B88&lt;&gt;"","REV-"&amp;TEXT(ROW()-8,"000"),"")</f>
        <v/>
      </c>
      <c r="B88" s="5" t="n"/>
      <c r="C88" s="5" t="n"/>
      <c r="D88" s="5" t="n"/>
      <c r="E88" s="5" t="n"/>
      <c r="F88" s="5" t="n"/>
      <c r="G88" s="4" t="n"/>
      <c r="H88" s="4" t="n"/>
      <c r="I88" s="5" t="n"/>
      <c r="J88" s="10">
        <f>IF(AND(H88&lt;&gt;"",H88&lt;TODAY(),I88&lt;&gt;"Completed"),TODAY()-H88,0)</f>
        <v/>
      </c>
      <c r="K88" s="11" t="n"/>
      <c r="L88" s="5" t="n"/>
      <c r="M88" s="5" t="n"/>
      <c r="N88" s="5" t="n"/>
    </row>
    <row r="89">
      <c r="A89" s="10">
        <f>IF(B89&lt;&gt;"","REV-"&amp;TEXT(ROW()-8,"000"),"")</f>
        <v/>
      </c>
      <c r="B89" s="5" t="n"/>
      <c r="C89" s="5" t="n"/>
      <c r="D89" s="5" t="n"/>
      <c r="E89" s="5" t="n"/>
      <c r="F89" s="5" t="n"/>
      <c r="G89" s="4" t="n"/>
      <c r="H89" s="4" t="n"/>
      <c r="I89" s="5" t="n"/>
      <c r="J89" s="10">
        <f>IF(AND(H89&lt;&gt;"",H89&lt;TODAY(),I89&lt;&gt;"Completed"),TODAY()-H89,0)</f>
        <v/>
      </c>
      <c r="K89" s="11" t="n"/>
      <c r="L89" s="5" t="n"/>
      <c r="M89" s="5" t="n"/>
      <c r="N89" s="5" t="n"/>
    </row>
    <row r="90">
      <c r="A90" s="10">
        <f>IF(B90&lt;&gt;"","REV-"&amp;TEXT(ROW()-8,"000"),"")</f>
        <v/>
      </c>
      <c r="B90" s="5" t="n"/>
      <c r="C90" s="5" t="n"/>
      <c r="D90" s="5" t="n"/>
      <c r="E90" s="5" t="n"/>
      <c r="F90" s="5" t="n"/>
      <c r="G90" s="4" t="n"/>
      <c r="H90" s="4" t="n"/>
      <c r="I90" s="5" t="n"/>
      <c r="J90" s="10">
        <f>IF(AND(H90&lt;&gt;"",H90&lt;TODAY(),I90&lt;&gt;"Completed"),TODAY()-H90,0)</f>
        <v/>
      </c>
      <c r="K90" s="11" t="n"/>
      <c r="L90" s="5" t="n"/>
      <c r="M90" s="5" t="n"/>
      <c r="N90" s="5" t="n"/>
    </row>
    <row r="91">
      <c r="A91" s="10">
        <f>IF(B91&lt;&gt;"","REV-"&amp;TEXT(ROW()-8,"000"),"")</f>
        <v/>
      </c>
      <c r="B91" s="5" t="n"/>
      <c r="C91" s="5" t="n"/>
      <c r="D91" s="5" t="n"/>
      <c r="E91" s="5" t="n"/>
      <c r="F91" s="5" t="n"/>
      <c r="G91" s="4" t="n"/>
      <c r="H91" s="4" t="n"/>
      <c r="I91" s="5" t="n"/>
      <c r="J91" s="10">
        <f>IF(AND(H91&lt;&gt;"",H91&lt;TODAY(),I91&lt;&gt;"Completed"),TODAY()-H91,0)</f>
        <v/>
      </c>
      <c r="K91" s="11" t="n"/>
      <c r="L91" s="5" t="n"/>
      <c r="M91" s="5" t="n"/>
      <c r="N91" s="5" t="n"/>
    </row>
    <row r="92">
      <c r="A92" s="10">
        <f>IF(B92&lt;&gt;"","REV-"&amp;TEXT(ROW()-8,"000"),"")</f>
        <v/>
      </c>
      <c r="B92" s="5" t="n"/>
      <c r="C92" s="5" t="n"/>
      <c r="D92" s="5" t="n"/>
      <c r="E92" s="5" t="n"/>
      <c r="F92" s="5" t="n"/>
      <c r="G92" s="4" t="n"/>
      <c r="H92" s="4" t="n"/>
      <c r="I92" s="5" t="n"/>
      <c r="J92" s="10">
        <f>IF(AND(H92&lt;&gt;"",H92&lt;TODAY(),I92&lt;&gt;"Completed"),TODAY()-H92,0)</f>
        <v/>
      </c>
      <c r="K92" s="11" t="n"/>
      <c r="L92" s="5" t="n"/>
      <c r="M92" s="5" t="n"/>
      <c r="N92" s="5" t="n"/>
    </row>
    <row r="93">
      <c r="A93" s="10">
        <f>IF(B93&lt;&gt;"","REV-"&amp;TEXT(ROW()-8,"000"),"")</f>
        <v/>
      </c>
      <c r="B93" s="5" t="n"/>
      <c r="C93" s="5" t="n"/>
      <c r="D93" s="5" t="n"/>
      <c r="E93" s="5" t="n"/>
      <c r="F93" s="5" t="n"/>
      <c r="G93" s="4" t="n"/>
      <c r="H93" s="4" t="n"/>
      <c r="I93" s="5" t="n"/>
      <c r="J93" s="10">
        <f>IF(AND(H93&lt;&gt;"",H93&lt;TODAY(),I93&lt;&gt;"Completed"),TODAY()-H93,0)</f>
        <v/>
      </c>
      <c r="K93" s="11" t="n"/>
      <c r="L93" s="5" t="n"/>
      <c r="M93" s="5" t="n"/>
      <c r="N93" s="5" t="n"/>
    </row>
    <row r="94">
      <c r="A94" s="10">
        <f>IF(B94&lt;&gt;"","REV-"&amp;TEXT(ROW()-8,"000"),"")</f>
        <v/>
      </c>
      <c r="B94" s="5" t="n"/>
      <c r="C94" s="5" t="n"/>
      <c r="D94" s="5" t="n"/>
      <c r="E94" s="5" t="n"/>
      <c r="F94" s="5" t="n"/>
      <c r="G94" s="4" t="n"/>
      <c r="H94" s="4" t="n"/>
      <c r="I94" s="5" t="n"/>
      <c r="J94" s="10">
        <f>IF(AND(H94&lt;&gt;"",H94&lt;TODAY(),I94&lt;&gt;"Completed"),TODAY()-H94,0)</f>
        <v/>
      </c>
      <c r="K94" s="11" t="n"/>
      <c r="L94" s="5" t="n"/>
      <c r="M94" s="5" t="n"/>
      <c r="N94" s="5" t="n"/>
    </row>
    <row r="95">
      <c r="A95" s="10">
        <f>IF(B95&lt;&gt;"","REV-"&amp;TEXT(ROW()-8,"000"),"")</f>
        <v/>
      </c>
      <c r="B95" s="5" t="n"/>
      <c r="C95" s="5" t="n"/>
      <c r="D95" s="5" t="n"/>
      <c r="E95" s="5" t="n"/>
      <c r="F95" s="5" t="n"/>
      <c r="G95" s="4" t="n"/>
      <c r="H95" s="4" t="n"/>
      <c r="I95" s="5" t="n"/>
      <c r="J95" s="10">
        <f>IF(AND(H95&lt;&gt;"",H95&lt;TODAY(),I95&lt;&gt;"Completed"),TODAY()-H95,0)</f>
        <v/>
      </c>
      <c r="K95" s="11" t="n"/>
      <c r="L95" s="5" t="n"/>
      <c r="M95" s="5" t="n"/>
      <c r="N95" s="5" t="n"/>
    </row>
    <row r="96">
      <c r="A96" s="10">
        <f>IF(B96&lt;&gt;"","REV-"&amp;TEXT(ROW()-8,"000"),"")</f>
        <v/>
      </c>
      <c r="B96" s="5" t="n"/>
      <c r="C96" s="5" t="n"/>
      <c r="D96" s="5" t="n"/>
      <c r="E96" s="5" t="n"/>
      <c r="F96" s="5" t="n"/>
      <c r="G96" s="4" t="n"/>
      <c r="H96" s="4" t="n"/>
      <c r="I96" s="5" t="n"/>
      <c r="J96" s="10">
        <f>IF(AND(H96&lt;&gt;"",H96&lt;TODAY(),I96&lt;&gt;"Completed"),TODAY()-H96,0)</f>
        <v/>
      </c>
      <c r="K96" s="11" t="n"/>
      <c r="L96" s="5" t="n"/>
      <c r="M96" s="5" t="n"/>
      <c r="N96" s="5" t="n"/>
    </row>
    <row r="97">
      <c r="A97" s="10">
        <f>IF(B97&lt;&gt;"","REV-"&amp;TEXT(ROW()-8,"000"),"")</f>
        <v/>
      </c>
      <c r="B97" s="5" t="n"/>
      <c r="C97" s="5" t="n"/>
      <c r="D97" s="5" t="n"/>
      <c r="E97" s="5" t="n"/>
      <c r="F97" s="5" t="n"/>
      <c r="G97" s="4" t="n"/>
      <c r="H97" s="4" t="n"/>
      <c r="I97" s="5" t="n"/>
      <c r="J97" s="10">
        <f>IF(AND(H97&lt;&gt;"",H97&lt;TODAY(),I97&lt;&gt;"Completed"),TODAY()-H97,0)</f>
        <v/>
      </c>
      <c r="K97" s="11" t="n"/>
      <c r="L97" s="5" t="n"/>
      <c r="M97" s="5" t="n"/>
      <c r="N97" s="5" t="n"/>
    </row>
    <row r="98">
      <c r="A98" s="10">
        <f>IF(B98&lt;&gt;"","REV-"&amp;TEXT(ROW()-8,"000"),"")</f>
        <v/>
      </c>
      <c r="B98" s="5" t="n"/>
      <c r="C98" s="5" t="n"/>
      <c r="D98" s="5" t="n"/>
      <c r="E98" s="5" t="n"/>
      <c r="F98" s="5" t="n"/>
      <c r="G98" s="4" t="n"/>
      <c r="H98" s="4" t="n"/>
      <c r="I98" s="5" t="n"/>
      <c r="J98" s="10">
        <f>IF(AND(H98&lt;&gt;"",H98&lt;TODAY(),I98&lt;&gt;"Completed"),TODAY()-H98,0)</f>
        <v/>
      </c>
      <c r="K98" s="11" t="n"/>
      <c r="L98" s="5" t="n"/>
      <c r="M98" s="5" t="n"/>
      <c r="N98" s="5" t="n"/>
    </row>
    <row r="99">
      <c r="A99" s="10">
        <f>IF(B99&lt;&gt;"","REV-"&amp;TEXT(ROW()-8,"000"),"")</f>
        <v/>
      </c>
      <c r="B99" s="5" t="n"/>
      <c r="C99" s="5" t="n"/>
      <c r="D99" s="5" t="n"/>
      <c r="E99" s="5" t="n"/>
      <c r="F99" s="5" t="n"/>
      <c r="G99" s="4" t="n"/>
      <c r="H99" s="4" t="n"/>
      <c r="I99" s="5" t="n"/>
      <c r="J99" s="10">
        <f>IF(AND(H99&lt;&gt;"",H99&lt;TODAY(),I99&lt;&gt;"Completed"),TODAY()-H99,0)</f>
        <v/>
      </c>
      <c r="K99" s="11" t="n"/>
      <c r="L99" s="5" t="n"/>
      <c r="M99" s="5" t="n"/>
      <c r="N99" s="5" t="n"/>
    </row>
    <row r="100">
      <c r="A100" s="10">
        <f>IF(B100&lt;&gt;"","REV-"&amp;TEXT(ROW()-8,"000"),"")</f>
        <v/>
      </c>
      <c r="B100" s="5" t="n"/>
      <c r="C100" s="5" t="n"/>
      <c r="D100" s="5" t="n"/>
      <c r="E100" s="5" t="n"/>
      <c r="F100" s="5" t="n"/>
      <c r="G100" s="4" t="n"/>
      <c r="H100" s="4" t="n"/>
      <c r="I100" s="5" t="n"/>
      <c r="J100" s="10">
        <f>IF(AND(H100&lt;&gt;"",H100&lt;TODAY(),I100&lt;&gt;"Completed"),TODAY()-H100,0)</f>
        <v/>
      </c>
      <c r="K100" s="11" t="n"/>
      <c r="L100" s="5" t="n"/>
      <c r="M100" s="5" t="n"/>
      <c r="N100" s="5" t="n"/>
    </row>
  </sheetData>
  <mergeCells count="2">
    <mergeCell ref="A2:N2"/>
    <mergeCell ref="A1:N1"/>
  </mergeCells>
  <dataValidations count="3">
    <dataValidation sqref="B9:B100" showDropDown="0" showInputMessage="0" showErrorMessage="0" allowBlank="1" type="list">
      <formula1>"Security Event Review,Compliance Review,Administrative Review,Access Review,Error Review,Performance Review"</formula1>
    </dataValidation>
    <dataValidation sqref="D9:D100" showDropDown="0" showInputMessage="0" showErrorMessage="0" allowBlank="1" type="list">
      <formula1>"Real-time,Hourly,Daily,Weekly,Monthly,Quarterly,Annual,Ad-hoc"</formula1>
    </dataValidation>
    <dataValidation sqref="I9:I100" showDropDown="0" showInputMessage="0" showErrorMessage="0" allowBlank="1" type="list">
      <formula1>"On Schedule,Overdue,Completed,Deferred"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15" customWidth="1" min="4" max="4"/>
    <col width="25" customWidth="1" min="5" max="5"/>
    <col width="40" customWidth="1" min="6" max="6"/>
    <col width="20" customWidth="1" min="7" max="7"/>
    <col width="15" customWidth="1" min="8" max="8"/>
    <col width="15" customWidth="1" min="9" max="9"/>
    <col width="15" customWidth="1" min="10" max="10"/>
    <col width="18" customWidth="1" min="11" max="11"/>
    <col width="18" customWidth="1" min="12" max="12"/>
    <col width="18" customWidth="1" min="13" max="13"/>
    <col width="15" customWidth="1" min="14" max="14"/>
    <col width="15" customWidth="1" min="15" max="15"/>
    <col width="40" customWidth="1" min="16" max="16"/>
  </cols>
  <sheetData>
    <row r="1" ht="40" customHeight="1">
      <c r="A1" s="1" t="inlineStr">
        <is>
          <t>ALERT MANAGEMENT</t>
        </is>
      </c>
    </row>
    <row r="2" ht="30" customHeight="1">
      <c r="A2" s="6" t="inlineStr">
        <is>
          <t>Assess alert configuration and effectiveness per ISMS-POL-A.8.15-S2.4.3</t>
        </is>
      </c>
    </row>
    <row r="7" ht="35" customHeight="1">
      <c r="A7" s="8" t="inlineStr">
        <is>
          <t>Alert ID</t>
        </is>
      </c>
      <c r="B7" s="8" t="inlineStr">
        <is>
          <t>Alert Name</t>
        </is>
      </c>
      <c r="C7" s="8" t="inlineStr">
        <is>
          <t>Alert Type</t>
        </is>
      </c>
      <c r="D7" s="8" t="inlineStr">
        <is>
          <t>Severity</t>
        </is>
      </c>
      <c r="E7" s="8" t="inlineStr">
        <is>
          <t>MITRE ATT&amp;CK Tactic</t>
        </is>
      </c>
      <c r="F7" s="8" t="inlineStr">
        <is>
          <t>Detection Logic</t>
        </is>
      </c>
      <c r="G7" s="8" t="inlineStr">
        <is>
          <t>Threshold</t>
        </is>
      </c>
      <c r="H7" s="8" t="inlineStr">
        <is>
          <t>Alerts/Month</t>
        </is>
      </c>
      <c r="I7" s="8" t="inlineStr">
        <is>
          <t>True Positives</t>
        </is>
      </c>
      <c r="J7" s="8" t="inlineStr">
        <is>
          <t>False Positives</t>
        </is>
      </c>
      <c r="K7" s="8" t="inlineStr">
        <is>
          <t>True Positive Rate %</t>
        </is>
      </c>
      <c r="L7" s="8" t="inlineStr">
        <is>
          <t>Tuning Required</t>
        </is>
      </c>
      <c r="M7" s="8" t="inlineStr">
        <is>
          <t>Playbook Exists</t>
        </is>
      </c>
      <c r="N7" s="8" t="inlineStr">
        <is>
          <t>Last Tuned</t>
        </is>
      </c>
      <c r="O7" s="8" t="inlineStr">
        <is>
          <t>Status</t>
        </is>
      </c>
      <c r="P7" s="8" t="inlineStr">
        <is>
          <t>Notes</t>
        </is>
      </c>
    </row>
    <row r="8">
      <c r="A8" s="9" t="inlineStr">
        <is>
          <t>ALT-001</t>
        </is>
      </c>
      <c r="B8" s="9" t="inlineStr">
        <is>
          <t>Multiple Failed Logins</t>
        </is>
      </c>
      <c r="C8" s="9" t="inlineStr">
        <is>
          <t>Authentication</t>
        </is>
      </c>
      <c r="D8" s="9" t="inlineStr">
        <is>
          <t>High</t>
        </is>
      </c>
      <c r="E8" s="9" t="inlineStr">
        <is>
          <t>TA0006 - Credential Access</t>
        </is>
      </c>
      <c r="F8" s="9" t="inlineStr">
        <is>
          <t>5+ failed logins in 5 minutes</t>
        </is>
      </c>
      <c r="G8" s="9" t="inlineStr">
        <is>
          <t>&gt;= 5 attempts</t>
        </is>
      </c>
      <c r="H8" s="9" t="inlineStr">
        <is>
          <t>45</t>
        </is>
      </c>
      <c r="I8" s="9" t="inlineStr">
        <is>
          <t>38</t>
        </is>
      </c>
      <c r="J8" s="9" t="inlineStr">
        <is>
          <t>7</t>
        </is>
      </c>
      <c r="K8" s="9" t="inlineStr">
        <is>
          <t>84.4%</t>
        </is>
      </c>
      <c r="L8" s="9" t="inlineStr">
        <is>
          <t>No</t>
        </is>
      </c>
      <c r="M8" s="9" t="inlineStr">
        <is>
          <t>Yes</t>
        </is>
      </c>
      <c r="N8" s="9" t="inlineStr">
        <is>
          <t>15.11.2025</t>
        </is>
      </c>
      <c r="O8" s="9" t="inlineStr">
        <is>
          <t>Active</t>
        </is>
      </c>
      <c r="P8" s="9" t="inlineStr">
        <is>
          <t>Well-tuned, low FP rate</t>
        </is>
      </c>
    </row>
    <row r="9">
      <c r="A9" s="10">
        <f>IF(B9&lt;&gt;"","ALT-"&amp;TEXT(ROW()-8,"000"),"")</f>
        <v/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12">
        <f>IF(AND(I9&lt;&gt;"",J9&lt;&gt;""),I9/(I9+J9),"")</f>
        <v/>
      </c>
      <c r="L9" s="5" t="n"/>
      <c r="M9" s="5" t="n"/>
      <c r="N9" s="4" t="n"/>
      <c r="O9" s="5" t="n"/>
      <c r="P9" s="5" t="n"/>
    </row>
    <row r="10">
      <c r="A10" s="10">
        <f>IF(B10&lt;&gt;"","ALT-"&amp;TEXT(ROW()-8,"000"),"")</f>
        <v/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12">
        <f>IF(AND(I10&lt;&gt;"",J10&lt;&gt;""),I10/(I10+J10),"")</f>
        <v/>
      </c>
      <c r="L10" s="5" t="n"/>
      <c r="M10" s="5" t="n"/>
      <c r="N10" s="4" t="n"/>
      <c r="O10" s="5" t="n"/>
      <c r="P10" s="5" t="n"/>
    </row>
    <row r="11">
      <c r="A11" s="10">
        <f>IF(B11&lt;&gt;"","ALT-"&amp;TEXT(ROW()-8,"000"),"")</f>
        <v/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12">
        <f>IF(AND(I11&lt;&gt;"",J11&lt;&gt;""),I11/(I11+J11),"")</f>
        <v/>
      </c>
      <c r="L11" s="5" t="n"/>
      <c r="M11" s="5" t="n"/>
      <c r="N11" s="4" t="n"/>
      <c r="O11" s="5" t="n"/>
      <c r="P11" s="5" t="n"/>
    </row>
    <row r="12">
      <c r="A12" s="10">
        <f>IF(B12&lt;&gt;"","ALT-"&amp;TEXT(ROW()-8,"000"),"")</f>
        <v/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12">
        <f>IF(AND(I12&lt;&gt;"",J12&lt;&gt;""),I12/(I12+J12),"")</f>
        <v/>
      </c>
      <c r="L12" s="5" t="n"/>
      <c r="M12" s="5" t="n"/>
      <c r="N12" s="4" t="n"/>
      <c r="O12" s="5" t="n"/>
      <c r="P12" s="5" t="n"/>
    </row>
    <row r="13">
      <c r="A13" s="10">
        <f>IF(B13&lt;&gt;"","ALT-"&amp;TEXT(ROW()-8,"000"),"")</f>
        <v/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12">
        <f>IF(AND(I13&lt;&gt;"",J13&lt;&gt;""),I13/(I13+J13),"")</f>
        <v/>
      </c>
      <c r="L13" s="5" t="n"/>
      <c r="M13" s="5" t="n"/>
      <c r="N13" s="4" t="n"/>
      <c r="O13" s="5" t="n"/>
      <c r="P13" s="5" t="n"/>
    </row>
    <row r="14">
      <c r="A14" s="10">
        <f>IF(B14&lt;&gt;"","ALT-"&amp;TEXT(ROW()-8,"000"),"")</f>
        <v/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12">
        <f>IF(AND(I14&lt;&gt;"",J14&lt;&gt;""),I14/(I14+J14),"")</f>
        <v/>
      </c>
      <c r="L14" s="5" t="n"/>
      <c r="M14" s="5" t="n"/>
      <c r="N14" s="4" t="n"/>
      <c r="O14" s="5" t="n"/>
      <c r="P14" s="5" t="n"/>
    </row>
    <row r="15">
      <c r="A15" s="10">
        <f>IF(B15&lt;&gt;"","ALT-"&amp;TEXT(ROW()-8,"000"),"")</f>
        <v/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12">
        <f>IF(AND(I15&lt;&gt;"",J15&lt;&gt;""),I15/(I15+J15),"")</f>
        <v/>
      </c>
      <c r="L15" s="5" t="n"/>
      <c r="M15" s="5" t="n"/>
      <c r="N15" s="4" t="n"/>
      <c r="O15" s="5" t="n"/>
      <c r="P15" s="5" t="n"/>
    </row>
    <row r="16">
      <c r="A16" s="10">
        <f>IF(B16&lt;&gt;"","ALT-"&amp;TEXT(ROW()-8,"000"),"")</f>
        <v/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12">
        <f>IF(AND(I16&lt;&gt;"",J16&lt;&gt;""),I16/(I16+J16),"")</f>
        <v/>
      </c>
      <c r="L16" s="5" t="n"/>
      <c r="M16" s="5" t="n"/>
      <c r="N16" s="4" t="n"/>
      <c r="O16" s="5" t="n"/>
      <c r="P16" s="5" t="n"/>
    </row>
    <row r="17">
      <c r="A17" s="10">
        <f>IF(B17&lt;&gt;"","ALT-"&amp;TEXT(ROW()-8,"000"),"")</f>
        <v/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12">
        <f>IF(AND(I17&lt;&gt;"",J17&lt;&gt;""),I17/(I17+J17),"")</f>
        <v/>
      </c>
      <c r="L17" s="5" t="n"/>
      <c r="M17" s="5" t="n"/>
      <c r="N17" s="4" t="n"/>
      <c r="O17" s="5" t="n"/>
      <c r="P17" s="5" t="n"/>
    </row>
    <row r="18">
      <c r="A18" s="10">
        <f>IF(B18&lt;&gt;"","ALT-"&amp;TEXT(ROW()-8,"000"),"")</f>
        <v/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12">
        <f>IF(AND(I18&lt;&gt;"",J18&lt;&gt;""),I18/(I18+J18),"")</f>
        <v/>
      </c>
      <c r="L18" s="5" t="n"/>
      <c r="M18" s="5" t="n"/>
      <c r="N18" s="4" t="n"/>
      <c r="O18" s="5" t="n"/>
      <c r="P18" s="5" t="n"/>
    </row>
    <row r="19">
      <c r="A19" s="10">
        <f>IF(B19&lt;&gt;"","ALT-"&amp;TEXT(ROW()-8,"000"),"")</f>
        <v/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12">
        <f>IF(AND(I19&lt;&gt;"",J19&lt;&gt;""),I19/(I19+J19),"")</f>
        <v/>
      </c>
      <c r="L19" s="5" t="n"/>
      <c r="M19" s="5" t="n"/>
      <c r="N19" s="4" t="n"/>
      <c r="O19" s="5" t="n"/>
      <c r="P19" s="5" t="n"/>
    </row>
    <row r="20">
      <c r="A20" s="10">
        <f>IF(B20&lt;&gt;"","ALT-"&amp;TEXT(ROW()-8,"000"),"")</f>
        <v/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12">
        <f>IF(AND(I20&lt;&gt;"",J20&lt;&gt;""),I20/(I20+J20),"")</f>
        <v/>
      </c>
      <c r="L20" s="5" t="n"/>
      <c r="M20" s="5" t="n"/>
      <c r="N20" s="4" t="n"/>
      <c r="O20" s="5" t="n"/>
      <c r="P20" s="5" t="n"/>
    </row>
    <row r="21">
      <c r="A21" s="10">
        <f>IF(B21&lt;&gt;"","ALT-"&amp;TEXT(ROW()-8,"000"),"")</f>
        <v/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12">
        <f>IF(AND(I21&lt;&gt;"",J21&lt;&gt;""),I21/(I21+J21),"")</f>
        <v/>
      </c>
      <c r="L21" s="5" t="n"/>
      <c r="M21" s="5" t="n"/>
      <c r="N21" s="4" t="n"/>
      <c r="O21" s="5" t="n"/>
      <c r="P21" s="5" t="n"/>
    </row>
    <row r="22">
      <c r="A22" s="10">
        <f>IF(B22&lt;&gt;"","ALT-"&amp;TEXT(ROW()-8,"000"),"")</f>
        <v/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12">
        <f>IF(AND(I22&lt;&gt;"",J22&lt;&gt;""),I22/(I22+J22),"")</f>
        <v/>
      </c>
      <c r="L22" s="5" t="n"/>
      <c r="M22" s="5" t="n"/>
      <c r="N22" s="4" t="n"/>
      <c r="O22" s="5" t="n"/>
      <c r="P22" s="5" t="n"/>
    </row>
    <row r="23">
      <c r="A23" s="10">
        <f>IF(B23&lt;&gt;"","ALT-"&amp;TEXT(ROW()-8,"000"),"")</f>
        <v/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12">
        <f>IF(AND(I23&lt;&gt;"",J23&lt;&gt;""),I23/(I23+J23),"")</f>
        <v/>
      </c>
      <c r="L23" s="5" t="n"/>
      <c r="M23" s="5" t="n"/>
      <c r="N23" s="4" t="n"/>
      <c r="O23" s="5" t="n"/>
      <c r="P23" s="5" t="n"/>
    </row>
    <row r="24">
      <c r="A24" s="10">
        <f>IF(B24&lt;&gt;"","ALT-"&amp;TEXT(ROW()-8,"000"),"")</f>
        <v/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12">
        <f>IF(AND(I24&lt;&gt;"",J24&lt;&gt;""),I24/(I24+J24),"")</f>
        <v/>
      </c>
      <c r="L24" s="5" t="n"/>
      <c r="M24" s="5" t="n"/>
      <c r="N24" s="4" t="n"/>
      <c r="O24" s="5" t="n"/>
      <c r="P24" s="5" t="n"/>
    </row>
    <row r="25">
      <c r="A25" s="10">
        <f>IF(B25&lt;&gt;"","ALT-"&amp;TEXT(ROW()-8,"000"),"")</f>
        <v/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12">
        <f>IF(AND(I25&lt;&gt;"",J25&lt;&gt;""),I25/(I25+J25),"")</f>
        <v/>
      </c>
      <c r="L25" s="5" t="n"/>
      <c r="M25" s="5" t="n"/>
      <c r="N25" s="4" t="n"/>
      <c r="O25" s="5" t="n"/>
      <c r="P25" s="5" t="n"/>
    </row>
    <row r="26">
      <c r="A26" s="10">
        <f>IF(B26&lt;&gt;"","ALT-"&amp;TEXT(ROW()-8,"000"),"")</f>
        <v/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12">
        <f>IF(AND(I26&lt;&gt;"",J26&lt;&gt;""),I26/(I26+J26),"")</f>
        <v/>
      </c>
      <c r="L26" s="5" t="n"/>
      <c r="M26" s="5" t="n"/>
      <c r="N26" s="4" t="n"/>
      <c r="O26" s="5" t="n"/>
      <c r="P26" s="5" t="n"/>
    </row>
    <row r="27">
      <c r="A27" s="10">
        <f>IF(B27&lt;&gt;"","ALT-"&amp;TEXT(ROW()-8,"000"),"")</f>
        <v/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12">
        <f>IF(AND(I27&lt;&gt;"",J27&lt;&gt;""),I27/(I27+J27),"")</f>
        <v/>
      </c>
      <c r="L27" s="5" t="n"/>
      <c r="M27" s="5" t="n"/>
      <c r="N27" s="4" t="n"/>
      <c r="O27" s="5" t="n"/>
      <c r="P27" s="5" t="n"/>
    </row>
    <row r="28">
      <c r="A28" s="10">
        <f>IF(B28&lt;&gt;"","ALT-"&amp;TEXT(ROW()-8,"000"),"")</f>
        <v/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12">
        <f>IF(AND(I28&lt;&gt;"",J28&lt;&gt;""),I28/(I28+J28),"")</f>
        <v/>
      </c>
      <c r="L28" s="5" t="n"/>
      <c r="M28" s="5" t="n"/>
      <c r="N28" s="4" t="n"/>
      <c r="O28" s="5" t="n"/>
      <c r="P28" s="5" t="n"/>
    </row>
    <row r="29">
      <c r="A29" s="10">
        <f>IF(B29&lt;&gt;"","ALT-"&amp;TEXT(ROW()-8,"000"),"")</f>
        <v/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12">
        <f>IF(AND(I29&lt;&gt;"",J29&lt;&gt;""),I29/(I29+J29),"")</f>
        <v/>
      </c>
      <c r="L29" s="5" t="n"/>
      <c r="M29" s="5" t="n"/>
      <c r="N29" s="4" t="n"/>
      <c r="O29" s="5" t="n"/>
      <c r="P29" s="5" t="n"/>
    </row>
    <row r="30">
      <c r="A30" s="10">
        <f>IF(B30&lt;&gt;"","ALT-"&amp;TEXT(ROW()-8,"000"),"")</f>
        <v/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12">
        <f>IF(AND(I30&lt;&gt;"",J30&lt;&gt;""),I30/(I30+J30),"")</f>
        <v/>
      </c>
      <c r="L30" s="5" t="n"/>
      <c r="M30" s="5" t="n"/>
      <c r="N30" s="4" t="n"/>
      <c r="O30" s="5" t="n"/>
      <c r="P30" s="5" t="n"/>
    </row>
    <row r="31">
      <c r="A31" s="10">
        <f>IF(B31&lt;&gt;"","ALT-"&amp;TEXT(ROW()-8,"000"),"")</f>
        <v/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12">
        <f>IF(AND(I31&lt;&gt;"",J31&lt;&gt;""),I31/(I31+J31),"")</f>
        <v/>
      </c>
      <c r="L31" s="5" t="n"/>
      <c r="M31" s="5" t="n"/>
      <c r="N31" s="4" t="n"/>
      <c r="O31" s="5" t="n"/>
      <c r="P31" s="5" t="n"/>
    </row>
    <row r="32">
      <c r="A32" s="10">
        <f>IF(B32&lt;&gt;"","ALT-"&amp;TEXT(ROW()-8,"000"),"")</f>
        <v/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12">
        <f>IF(AND(I32&lt;&gt;"",J32&lt;&gt;""),I32/(I32+J32),"")</f>
        <v/>
      </c>
      <c r="L32" s="5" t="n"/>
      <c r="M32" s="5" t="n"/>
      <c r="N32" s="4" t="n"/>
      <c r="O32" s="5" t="n"/>
      <c r="P32" s="5" t="n"/>
    </row>
    <row r="33">
      <c r="A33" s="10">
        <f>IF(B33&lt;&gt;"","ALT-"&amp;TEXT(ROW()-8,"000"),"")</f>
        <v/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12">
        <f>IF(AND(I33&lt;&gt;"",J33&lt;&gt;""),I33/(I33+J33),"")</f>
        <v/>
      </c>
      <c r="L33" s="5" t="n"/>
      <c r="M33" s="5" t="n"/>
      <c r="N33" s="4" t="n"/>
      <c r="O33" s="5" t="n"/>
      <c r="P33" s="5" t="n"/>
    </row>
    <row r="34">
      <c r="A34" s="10">
        <f>IF(B34&lt;&gt;"","ALT-"&amp;TEXT(ROW()-8,"000"),"")</f>
        <v/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12">
        <f>IF(AND(I34&lt;&gt;"",J34&lt;&gt;""),I34/(I34+J34),"")</f>
        <v/>
      </c>
      <c r="L34" s="5" t="n"/>
      <c r="M34" s="5" t="n"/>
      <c r="N34" s="4" t="n"/>
      <c r="O34" s="5" t="n"/>
      <c r="P34" s="5" t="n"/>
    </row>
    <row r="35">
      <c r="A35" s="10">
        <f>IF(B35&lt;&gt;"","ALT-"&amp;TEXT(ROW()-8,"000"),"")</f>
        <v/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12">
        <f>IF(AND(I35&lt;&gt;"",J35&lt;&gt;""),I35/(I35+J35),"")</f>
        <v/>
      </c>
      <c r="L35" s="5" t="n"/>
      <c r="M35" s="5" t="n"/>
      <c r="N35" s="4" t="n"/>
      <c r="O35" s="5" t="n"/>
      <c r="P35" s="5" t="n"/>
    </row>
    <row r="36">
      <c r="A36" s="10">
        <f>IF(B36&lt;&gt;"","ALT-"&amp;TEXT(ROW()-8,"000"),"")</f>
        <v/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12">
        <f>IF(AND(I36&lt;&gt;"",J36&lt;&gt;""),I36/(I36+J36),"")</f>
        <v/>
      </c>
      <c r="L36" s="5" t="n"/>
      <c r="M36" s="5" t="n"/>
      <c r="N36" s="4" t="n"/>
      <c r="O36" s="5" t="n"/>
      <c r="P36" s="5" t="n"/>
    </row>
    <row r="37">
      <c r="A37" s="10">
        <f>IF(B37&lt;&gt;"","ALT-"&amp;TEXT(ROW()-8,"000"),"")</f>
        <v/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12">
        <f>IF(AND(I37&lt;&gt;"",J37&lt;&gt;""),I37/(I37+J37),"")</f>
        <v/>
      </c>
      <c r="L37" s="5" t="n"/>
      <c r="M37" s="5" t="n"/>
      <c r="N37" s="4" t="n"/>
      <c r="O37" s="5" t="n"/>
      <c r="P37" s="5" t="n"/>
    </row>
    <row r="38">
      <c r="A38" s="10">
        <f>IF(B38&lt;&gt;"","ALT-"&amp;TEXT(ROW()-8,"000"),"")</f>
        <v/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12">
        <f>IF(AND(I38&lt;&gt;"",J38&lt;&gt;""),I38/(I38+J38),"")</f>
        <v/>
      </c>
      <c r="L38" s="5" t="n"/>
      <c r="M38" s="5" t="n"/>
      <c r="N38" s="4" t="n"/>
      <c r="O38" s="5" t="n"/>
      <c r="P38" s="5" t="n"/>
    </row>
    <row r="39">
      <c r="A39" s="10">
        <f>IF(B39&lt;&gt;"","ALT-"&amp;TEXT(ROW()-8,"000"),"")</f>
        <v/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12">
        <f>IF(AND(I39&lt;&gt;"",J39&lt;&gt;""),I39/(I39+J39),"")</f>
        <v/>
      </c>
      <c r="L39" s="5" t="n"/>
      <c r="M39" s="5" t="n"/>
      <c r="N39" s="4" t="n"/>
      <c r="O39" s="5" t="n"/>
      <c r="P39" s="5" t="n"/>
    </row>
    <row r="40">
      <c r="A40" s="10">
        <f>IF(B40&lt;&gt;"","ALT-"&amp;TEXT(ROW()-8,"000"),"")</f>
        <v/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12">
        <f>IF(AND(I40&lt;&gt;"",J40&lt;&gt;""),I40/(I40+J40),"")</f>
        <v/>
      </c>
      <c r="L40" s="5" t="n"/>
      <c r="M40" s="5" t="n"/>
      <c r="N40" s="4" t="n"/>
      <c r="O40" s="5" t="n"/>
      <c r="P40" s="5" t="n"/>
    </row>
    <row r="41">
      <c r="A41" s="10">
        <f>IF(B41&lt;&gt;"","ALT-"&amp;TEXT(ROW()-8,"000"),"")</f>
        <v/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12">
        <f>IF(AND(I41&lt;&gt;"",J41&lt;&gt;""),I41/(I41+J41),"")</f>
        <v/>
      </c>
      <c r="L41" s="5" t="n"/>
      <c r="M41" s="5" t="n"/>
      <c r="N41" s="4" t="n"/>
      <c r="O41" s="5" t="n"/>
      <c r="P41" s="5" t="n"/>
    </row>
    <row r="42">
      <c r="A42" s="10">
        <f>IF(B42&lt;&gt;"","ALT-"&amp;TEXT(ROW()-8,"000"),"")</f>
        <v/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12">
        <f>IF(AND(I42&lt;&gt;"",J42&lt;&gt;""),I42/(I42+J42),"")</f>
        <v/>
      </c>
      <c r="L42" s="5" t="n"/>
      <c r="M42" s="5" t="n"/>
      <c r="N42" s="4" t="n"/>
      <c r="O42" s="5" t="n"/>
      <c r="P42" s="5" t="n"/>
    </row>
    <row r="43">
      <c r="A43" s="10">
        <f>IF(B43&lt;&gt;"","ALT-"&amp;TEXT(ROW()-8,"000"),"")</f>
        <v/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12">
        <f>IF(AND(I43&lt;&gt;"",J43&lt;&gt;""),I43/(I43+J43),"")</f>
        <v/>
      </c>
      <c r="L43" s="5" t="n"/>
      <c r="M43" s="5" t="n"/>
      <c r="N43" s="4" t="n"/>
      <c r="O43" s="5" t="n"/>
      <c r="P43" s="5" t="n"/>
    </row>
    <row r="44">
      <c r="A44" s="10">
        <f>IF(B44&lt;&gt;"","ALT-"&amp;TEXT(ROW()-8,"000"),"")</f>
        <v/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12">
        <f>IF(AND(I44&lt;&gt;"",J44&lt;&gt;""),I44/(I44+J44),"")</f>
        <v/>
      </c>
      <c r="L44" s="5" t="n"/>
      <c r="M44" s="5" t="n"/>
      <c r="N44" s="4" t="n"/>
      <c r="O44" s="5" t="n"/>
      <c r="P44" s="5" t="n"/>
    </row>
    <row r="45">
      <c r="A45" s="10">
        <f>IF(B45&lt;&gt;"","ALT-"&amp;TEXT(ROW()-8,"000"),"")</f>
        <v/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12">
        <f>IF(AND(I45&lt;&gt;"",J45&lt;&gt;""),I45/(I45+J45),"")</f>
        <v/>
      </c>
      <c r="L45" s="5" t="n"/>
      <c r="M45" s="5" t="n"/>
      <c r="N45" s="4" t="n"/>
      <c r="O45" s="5" t="n"/>
      <c r="P45" s="5" t="n"/>
    </row>
    <row r="46">
      <c r="A46" s="10">
        <f>IF(B46&lt;&gt;"","ALT-"&amp;TEXT(ROW()-8,"000"),"")</f>
        <v/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12">
        <f>IF(AND(I46&lt;&gt;"",J46&lt;&gt;""),I46/(I46+J46),"")</f>
        <v/>
      </c>
      <c r="L46" s="5" t="n"/>
      <c r="M46" s="5" t="n"/>
      <c r="N46" s="4" t="n"/>
      <c r="O46" s="5" t="n"/>
      <c r="P46" s="5" t="n"/>
    </row>
    <row r="47">
      <c r="A47" s="10">
        <f>IF(B47&lt;&gt;"","ALT-"&amp;TEXT(ROW()-8,"000"),"")</f>
        <v/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12">
        <f>IF(AND(I47&lt;&gt;"",J47&lt;&gt;""),I47/(I47+J47),"")</f>
        <v/>
      </c>
      <c r="L47" s="5" t="n"/>
      <c r="M47" s="5" t="n"/>
      <c r="N47" s="4" t="n"/>
      <c r="O47" s="5" t="n"/>
      <c r="P47" s="5" t="n"/>
    </row>
    <row r="48">
      <c r="A48" s="10">
        <f>IF(B48&lt;&gt;"","ALT-"&amp;TEXT(ROW()-8,"000"),"")</f>
        <v/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12">
        <f>IF(AND(I48&lt;&gt;"",J48&lt;&gt;""),I48/(I48+J48),"")</f>
        <v/>
      </c>
      <c r="L48" s="5" t="n"/>
      <c r="M48" s="5" t="n"/>
      <c r="N48" s="4" t="n"/>
      <c r="O48" s="5" t="n"/>
      <c r="P48" s="5" t="n"/>
    </row>
    <row r="49">
      <c r="A49" s="10">
        <f>IF(B49&lt;&gt;"","ALT-"&amp;TEXT(ROW()-8,"000"),"")</f>
        <v/>
      </c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12">
        <f>IF(AND(I49&lt;&gt;"",J49&lt;&gt;""),I49/(I49+J49),"")</f>
        <v/>
      </c>
      <c r="L49" s="5" t="n"/>
      <c r="M49" s="5" t="n"/>
      <c r="N49" s="4" t="n"/>
      <c r="O49" s="5" t="n"/>
      <c r="P49" s="5" t="n"/>
    </row>
    <row r="50">
      <c r="A50" s="10">
        <f>IF(B50&lt;&gt;"","ALT-"&amp;TEXT(ROW()-8,"000"),"")</f>
        <v/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12">
        <f>IF(AND(I50&lt;&gt;"",J50&lt;&gt;""),I50/(I50+J50),"")</f>
        <v/>
      </c>
      <c r="L50" s="5" t="n"/>
      <c r="M50" s="5" t="n"/>
      <c r="N50" s="4" t="n"/>
      <c r="O50" s="5" t="n"/>
      <c r="P50" s="5" t="n"/>
    </row>
    <row r="51">
      <c r="A51" s="10">
        <f>IF(B51&lt;&gt;"","ALT-"&amp;TEXT(ROW()-8,"000"),"")</f>
        <v/>
      </c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12">
        <f>IF(AND(I51&lt;&gt;"",J51&lt;&gt;""),I51/(I51+J51),"")</f>
        <v/>
      </c>
      <c r="L51" s="5" t="n"/>
      <c r="M51" s="5" t="n"/>
      <c r="N51" s="4" t="n"/>
      <c r="O51" s="5" t="n"/>
      <c r="P51" s="5" t="n"/>
    </row>
    <row r="52">
      <c r="A52" s="10">
        <f>IF(B52&lt;&gt;"","ALT-"&amp;TEXT(ROW()-8,"000"),"")</f>
        <v/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12">
        <f>IF(AND(I52&lt;&gt;"",J52&lt;&gt;""),I52/(I52+J52),"")</f>
        <v/>
      </c>
      <c r="L52" s="5" t="n"/>
      <c r="M52" s="5" t="n"/>
      <c r="N52" s="4" t="n"/>
      <c r="O52" s="5" t="n"/>
      <c r="P52" s="5" t="n"/>
    </row>
    <row r="53">
      <c r="A53" s="10">
        <f>IF(B53&lt;&gt;"","ALT-"&amp;TEXT(ROW()-8,"000"),"")</f>
        <v/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12">
        <f>IF(AND(I53&lt;&gt;"",J53&lt;&gt;""),I53/(I53+J53),"")</f>
        <v/>
      </c>
      <c r="L53" s="5" t="n"/>
      <c r="M53" s="5" t="n"/>
      <c r="N53" s="4" t="n"/>
      <c r="O53" s="5" t="n"/>
      <c r="P53" s="5" t="n"/>
    </row>
    <row r="54">
      <c r="A54" s="10">
        <f>IF(B54&lt;&gt;"","ALT-"&amp;TEXT(ROW()-8,"000"),"")</f>
        <v/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12">
        <f>IF(AND(I54&lt;&gt;"",J54&lt;&gt;""),I54/(I54+J54),"")</f>
        <v/>
      </c>
      <c r="L54" s="5" t="n"/>
      <c r="M54" s="5" t="n"/>
      <c r="N54" s="4" t="n"/>
      <c r="O54" s="5" t="n"/>
      <c r="P54" s="5" t="n"/>
    </row>
    <row r="55">
      <c r="A55" s="10">
        <f>IF(B55&lt;&gt;"","ALT-"&amp;TEXT(ROW()-8,"000"),"")</f>
        <v/>
      </c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12">
        <f>IF(AND(I55&lt;&gt;"",J55&lt;&gt;""),I55/(I55+J55),"")</f>
        <v/>
      </c>
      <c r="L55" s="5" t="n"/>
      <c r="M55" s="5" t="n"/>
      <c r="N55" s="4" t="n"/>
      <c r="O55" s="5" t="n"/>
      <c r="P55" s="5" t="n"/>
    </row>
    <row r="56">
      <c r="A56" s="10">
        <f>IF(B56&lt;&gt;"","ALT-"&amp;TEXT(ROW()-8,"000"),"")</f>
        <v/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12">
        <f>IF(AND(I56&lt;&gt;"",J56&lt;&gt;""),I56/(I56+J56),"")</f>
        <v/>
      </c>
      <c r="L56" s="5" t="n"/>
      <c r="M56" s="5" t="n"/>
      <c r="N56" s="4" t="n"/>
      <c r="O56" s="5" t="n"/>
      <c r="P56" s="5" t="n"/>
    </row>
    <row r="57">
      <c r="A57" s="10">
        <f>IF(B57&lt;&gt;"","ALT-"&amp;TEXT(ROW()-8,"000"),"")</f>
        <v/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12">
        <f>IF(AND(I57&lt;&gt;"",J57&lt;&gt;""),I57/(I57+J57),"")</f>
        <v/>
      </c>
      <c r="L57" s="5" t="n"/>
      <c r="M57" s="5" t="n"/>
      <c r="N57" s="4" t="n"/>
      <c r="O57" s="5" t="n"/>
      <c r="P57" s="5" t="n"/>
    </row>
    <row r="58">
      <c r="A58" s="10">
        <f>IF(B58&lt;&gt;"","ALT-"&amp;TEXT(ROW()-8,"000"),"")</f>
        <v/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12">
        <f>IF(AND(I58&lt;&gt;"",J58&lt;&gt;""),I58/(I58+J58),"")</f>
        <v/>
      </c>
      <c r="L58" s="5" t="n"/>
      <c r="M58" s="5" t="n"/>
      <c r="N58" s="4" t="n"/>
      <c r="O58" s="5" t="n"/>
      <c r="P58" s="5" t="n"/>
    </row>
    <row r="59">
      <c r="A59" s="10">
        <f>IF(B59&lt;&gt;"","ALT-"&amp;TEXT(ROW()-8,"000"),"")</f>
        <v/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12">
        <f>IF(AND(I59&lt;&gt;"",J59&lt;&gt;""),I59/(I59+J59),"")</f>
        <v/>
      </c>
      <c r="L59" s="5" t="n"/>
      <c r="M59" s="5" t="n"/>
      <c r="N59" s="4" t="n"/>
      <c r="O59" s="5" t="n"/>
      <c r="P59" s="5" t="n"/>
    </row>
    <row r="60">
      <c r="A60" s="10">
        <f>IF(B60&lt;&gt;"","ALT-"&amp;TEXT(ROW()-8,"000"),"")</f>
        <v/>
      </c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12">
        <f>IF(AND(I60&lt;&gt;"",J60&lt;&gt;""),I60/(I60+J60),"")</f>
        <v/>
      </c>
      <c r="L60" s="5" t="n"/>
      <c r="M60" s="5" t="n"/>
      <c r="N60" s="4" t="n"/>
      <c r="O60" s="5" t="n"/>
      <c r="P60" s="5" t="n"/>
    </row>
    <row r="61">
      <c r="A61" s="10">
        <f>IF(B61&lt;&gt;"","ALT-"&amp;TEXT(ROW()-8,"000"),"")</f>
        <v/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12">
        <f>IF(AND(I61&lt;&gt;"",J61&lt;&gt;""),I61/(I61+J61),"")</f>
        <v/>
      </c>
      <c r="L61" s="5" t="n"/>
      <c r="M61" s="5" t="n"/>
      <c r="N61" s="4" t="n"/>
      <c r="O61" s="5" t="n"/>
      <c r="P61" s="5" t="n"/>
    </row>
    <row r="62">
      <c r="A62" s="10">
        <f>IF(B62&lt;&gt;"","ALT-"&amp;TEXT(ROW()-8,"000"),"")</f>
        <v/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12">
        <f>IF(AND(I62&lt;&gt;"",J62&lt;&gt;""),I62/(I62+J62),"")</f>
        <v/>
      </c>
      <c r="L62" s="5" t="n"/>
      <c r="M62" s="5" t="n"/>
      <c r="N62" s="4" t="n"/>
      <c r="O62" s="5" t="n"/>
      <c r="P62" s="5" t="n"/>
    </row>
    <row r="63">
      <c r="A63" s="10">
        <f>IF(B63&lt;&gt;"","ALT-"&amp;TEXT(ROW()-8,"000"),"")</f>
        <v/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12">
        <f>IF(AND(I63&lt;&gt;"",J63&lt;&gt;""),I63/(I63+J63),"")</f>
        <v/>
      </c>
      <c r="L63" s="5" t="n"/>
      <c r="M63" s="5" t="n"/>
      <c r="N63" s="4" t="n"/>
      <c r="O63" s="5" t="n"/>
      <c r="P63" s="5" t="n"/>
    </row>
    <row r="64">
      <c r="A64" s="10">
        <f>IF(B64&lt;&gt;"","ALT-"&amp;TEXT(ROW()-8,"000"),"")</f>
        <v/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12">
        <f>IF(AND(I64&lt;&gt;"",J64&lt;&gt;""),I64/(I64+J64),"")</f>
        <v/>
      </c>
      <c r="L64" s="5" t="n"/>
      <c r="M64" s="5" t="n"/>
      <c r="N64" s="4" t="n"/>
      <c r="O64" s="5" t="n"/>
      <c r="P64" s="5" t="n"/>
    </row>
    <row r="65">
      <c r="A65" s="10">
        <f>IF(B65&lt;&gt;"","ALT-"&amp;TEXT(ROW()-8,"000"),"")</f>
        <v/>
      </c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12">
        <f>IF(AND(I65&lt;&gt;"",J65&lt;&gt;""),I65/(I65+J65),"")</f>
        <v/>
      </c>
      <c r="L65" s="5" t="n"/>
      <c r="M65" s="5" t="n"/>
      <c r="N65" s="4" t="n"/>
      <c r="O65" s="5" t="n"/>
      <c r="P65" s="5" t="n"/>
    </row>
    <row r="66">
      <c r="A66" s="10">
        <f>IF(B66&lt;&gt;"","ALT-"&amp;TEXT(ROW()-8,"000"),"")</f>
        <v/>
      </c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12">
        <f>IF(AND(I66&lt;&gt;"",J66&lt;&gt;""),I66/(I66+J66),"")</f>
        <v/>
      </c>
      <c r="L66" s="5" t="n"/>
      <c r="M66" s="5" t="n"/>
      <c r="N66" s="4" t="n"/>
      <c r="O66" s="5" t="n"/>
      <c r="P66" s="5" t="n"/>
    </row>
    <row r="67">
      <c r="A67" s="10">
        <f>IF(B67&lt;&gt;"","ALT-"&amp;TEXT(ROW()-8,"000"),"")</f>
        <v/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12">
        <f>IF(AND(I67&lt;&gt;"",J67&lt;&gt;""),I67/(I67+J67),"")</f>
        <v/>
      </c>
      <c r="L67" s="5" t="n"/>
      <c r="M67" s="5" t="n"/>
      <c r="N67" s="4" t="n"/>
      <c r="O67" s="5" t="n"/>
      <c r="P67" s="5" t="n"/>
    </row>
    <row r="68">
      <c r="A68" s="10">
        <f>IF(B68&lt;&gt;"","ALT-"&amp;TEXT(ROW()-8,"000"),"")</f>
        <v/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12">
        <f>IF(AND(I68&lt;&gt;"",J68&lt;&gt;""),I68/(I68+J68),"")</f>
        <v/>
      </c>
      <c r="L68" s="5" t="n"/>
      <c r="M68" s="5" t="n"/>
      <c r="N68" s="4" t="n"/>
      <c r="O68" s="5" t="n"/>
      <c r="P68" s="5" t="n"/>
    </row>
    <row r="69">
      <c r="A69" s="10">
        <f>IF(B69&lt;&gt;"","ALT-"&amp;TEXT(ROW()-8,"000"),"")</f>
        <v/>
      </c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12">
        <f>IF(AND(I69&lt;&gt;"",J69&lt;&gt;""),I69/(I69+J69),"")</f>
        <v/>
      </c>
      <c r="L69" s="5" t="n"/>
      <c r="M69" s="5" t="n"/>
      <c r="N69" s="4" t="n"/>
      <c r="O69" s="5" t="n"/>
      <c r="P69" s="5" t="n"/>
    </row>
    <row r="70">
      <c r="A70" s="10">
        <f>IF(B70&lt;&gt;"","ALT-"&amp;TEXT(ROW()-8,"000"),"")</f>
        <v/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12">
        <f>IF(AND(I70&lt;&gt;"",J70&lt;&gt;""),I70/(I70+J70),"")</f>
        <v/>
      </c>
      <c r="L70" s="5" t="n"/>
      <c r="M70" s="5" t="n"/>
      <c r="N70" s="4" t="n"/>
      <c r="O70" s="5" t="n"/>
      <c r="P70" s="5" t="n"/>
    </row>
    <row r="71">
      <c r="A71" s="10">
        <f>IF(B71&lt;&gt;"","ALT-"&amp;TEXT(ROW()-8,"000"),"")</f>
        <v/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12">
        <f>IF(AND(I71&lt;&gt;"",J71&lt;&gt;""),I71/(I71+J71),"")</f>
        <v/>
      </c>
      <c r="L71" s="5" t="n"/>
      <c r="M71" s="5" t="n"/>
      <c r="N71" s="4" t="n"/>
      <c r="O71" s="5" t="n"/>
      <c r="P71" s="5" t="n"/>
    </row>
    <row r="72">
      <c r="A72" s="10">
        <f>IF(B72&lt;&gt;"","ALT-"&amp;TEXT(ROW()-8,"000"),"")</f>
        <v/>
      </c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12">
        <f>IF(AND(I72&lt;&gt;"",J72&lt;&gt;""),I72/(I72+J72),"")</f>
        <v/>
      </c>
      <c r="L72" s="5" t="n"/>
      <c r="M72" s="5" t="n"/>
      <c r="N72" s="4" t="n"/>
      <c r="O72" s="5" t="n"/>
      <c r="P72" s="5" t="n"/>
    </row>
    <row r="73">
      <c r="A73" s="10">
        <f>IF(B73&lt;&gt;"","ALT-"&amp;TEXT(ROW()-8,"000"),"")</f>
        <v/>
      </c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12">
        <f>IF(AND(I73&lt;&gt;"",J73&lt;&gt;""),I73/(I73+J73),"")</f>
        <v/>
      </c>
      <c r="L73" s="5" t="n"/>
      <c r="M73" s="5" t="n"/>
      <c r="N73" s="4" t="n"/>
      <c r="O73" s="5" t="n"/>
      <c r="P73" s="5" t="n"/>
    </row>
    <row r="74">
      <c r="A74" s="10">
        <f>IF(B74&lt;&gt;"","ALT-"&amp;TEXT(ROW()-8,"000"),"")</f>
        <v/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12">
        <f>IF(AND(I74&lt;&gt;"",J74&lt;&gt;""),I74/(I74+J74),"")</f>
        <v/>
      </c>
      <c r="L74" s="5" t="n"/>
      <c r="M74" s="5" t="n"/>
      <c r="N74" s="4" t="n"/>
      <c r="O74" s="5" t="n"/>
      <c r="P74" s="5" t="n"/>
    </row>
    <row r="75">
      <c r="A75" s="10">
        <f>IF(B75&lt;&gt;"","ALT-"&amp;TEXT(ROW()-8,"000"),"")</f>
        <v/>
      </c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12">
        <f>IF(AND(I75&lt;&gt;"",J75&lt;&gt;""),I75/(I75+J75),"")</f>
        <v/>
      </c>
      <c r="L75" s="5" t="n"/>
      <c r="M75" s="5" t="n"/>
      <c r="N75" s="4" t="n"/>
      <c r="O75" s="5" t="n"/>
      <c r="P75" s="5" t="n"/>
    </row>
    <row r="76">
      <c r="A76" s="10">
        <f>IF(B76&lt;&gt;"","ALT-"&amp;TEXT(ROW()-8,"000"),"")</f>
        <v/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12">
        <f>IF(AND(I76&lt;&gt;"",J76&lt;&gt;""),I76/(I76+J76),"")</f>
        <v/>
      </c>
      <c r="L76" s="5" t="n"/>
      <c r="M76" s="5" t="n"/>
      <c r="N76" s="4" t="n"/>
      <c r="O76" s="5" t="n"/>
      <c r="P76" s="5" t="n"/>
    </row>
    <row r="77">
      <c r="A77" s="10">
        <f>IF(B77&lt;&gt;"","ALT-"&amp;TEXT(ROW()-8,"000"),"")</f>
        <v/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12">
        <f>IF(AND(I77&lt;&gt;"",J77&lt;&gt;""),I77/(I77+J77),"")</f>
        <v/>
      </c>
      <c r="L77" s="5" t="n"/>
      <c r="M77" s="5" t="n"/>
      <c r="N77" s="4" t="n"/>
      <c r="O77" s="5" t="n"/>
      <c r="P77" s="5" t="n"/>
    </row>
    <row r="78">
      <c r="A78" s="10">
        <f>IF(B78&lt;&gt;"","ALT-"&amp;TEXT(ROW()-8,"000"),"")</f>
        <v/>
      </c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12">
        <f>IF(AND(I78&lt;&gt;"",J78&lt;&gt;""),I78/(I78+J78),"")</f>
        <v/>
      </c>
      <c r="L78" s="5" t="n"/>
      <c r="M78" s="5" t="n"/>
      <c r="N78" s="4" t="n"/>
      <c r="O78" s="5" t="n"/>
      <c r="P78" s="5" t="n"/>
    </row>
    <row r="79">
      <c r="A79" s="10">
        <f>IF(B79&lt;&gt;"","ALT-"&amp;TEXT(ROW()-8,"000"),"")</f>
        <v/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12">
        <f>IF(AND(I79&lt;&gt;"",J79&lt;&gt;""),I79/(I79+J79),"")</f>
        <v/>
      </c>
      <c r="L79" s="5" t="n"/>
      <c r="M79" s="5" t="n"/>
      <c r="N79" s="4" t="n"/>
      <c r="O79" s="5" t="n"/>
      <c r="P79" s="5" t="n"/>
    </row>
    <row r="80">
      <c r="A80" s="10">
        <f>IF(B80&lt;&gt;"","ALT-"&amp;TEXT(ROW()-8,"000"),"")</f>
        <v/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12">
        <f>IF(AND(I80&lt;&gt;"",J80&lt;&gt;""),I80/(I80+J80),"")</f>
        <v/>
      </c>
      <c r="L80" s="5" t="n"/>
      <c r="M80" s="5" t="n"/>
      <c r="N80" s="4" t="n"/>
      <c r="O80" s="5" t="n"/>
      <c r="P80" s="5" t="n"/>
    </row>
    <row r="81">
      <c r="A81" s="10">
        <f>IF(B81&lt;&gt;"","ALT-"&amp;TEXT(ROW()-8,"000"),"")</f>
        <v/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12">
        <f>IF(AND(I81&lt;&gt;"",J81&lt;&gt;""),I81/(I81+J81),"")</f>
        <v/>
      </c>
      <c r="L81" s="5" t="n"/>
      <c r="M81" s="5" t="n"/>
      <c r="N81" s="4" t="n"/>
      <c r="O81" s="5" t="n"/>
      <c r="P81" s="5" t="n"/>
    </row>
    <row r="82">
      <c r="A82" s="10">
        <f>IF(B82&lt;&gt;"","ALT-"&amp;TEXT(ROW()-8,"000"),"")</f>
        <v/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12">
        <f>IF(AND(I82&lt;&gt;"",J82&lt;&gt;""),I82/(I82+J82),"")</f>
        <v/>
      </c>
      <c r="L82" s="5" t="n"/>
      <c r="M82" s="5" t="n"/>
      <c r="N82" s="4" t="n"/>
      <c r="O82" s="5" t="n"/>
      <c r="P82" s="5" t="n"/>
    </row>
    <row r="83">
      <c r="A83" s="10">
        <f>IF(B83&lt;&gt;"","ALT-"&amp;TEXT(ROW()-8,"000"),"")</f>
        <v/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12">
        <f>IF(AND(I83&lt;&gt;"",J83&lt;&gt;""),I83/(I83+J83),"")</f>
        <v/>
      </c>
      <c r="L83" s="5" t="n"/>
      <c r="M83" s="5" t="n"/>
      <c r="N83" s="4" t="n"/>
      <c r="O83" s="5" t="n"/>
      <c r="P83" s="5" t="n"/>
    </row>
    <row r="84">
      <c r="A84" s="10">
        <f>IF(B84&lt;&gt;"","ALT-"&amp;TEXT(ROW()-8,"000"),"")</f>
        <v/>
      </c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12">
        <f>IF(AND(I84&lt;&gt;"",J84&lt;&gt;""),I84/(I84+J84),"")</f>
        <v/>
      </c>
      <c r="L84" s="5" t="n"/>
      <c r="M84" s="5" t="n"/>
      <c r="N84" s="4" t="n"/>
      <c r="O84" s="5" t="n"/>
      <c r="P84" s="5" t="n"/>
    </row>
    <row r="85">
      <c r="A85" s="10">
        <f>IF(B85&lt;&gt;"","ALT-"&amp;TEXT(ROW()-8,"000"),"")</f>
        <v/>
      </c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12">
        <f>IF(AND(I85&lt;&gt;"",J85&lt;&gt;""),I85/(I85+J85),"")</f>
        <v/>
      </c>
      <c r="L85" s="5" t="n"/>
      <c r="M85" s="5" t="n"/>
      <c r="N85" s="4" t="n"/>
      <c r="O85" s="5" t="n"/>
      <c r="P85" s="5" t="n"/>
    </row>
    <row r="86">
      <c r="A86" s="10">
        <f>IF(B86&lt;&gt;"","ALT-"&amp;TEXT(ROW()-8,"000"),"")</f>
        <v/>
      </c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12">
        <f>IF(AND(I86&lt;&gt;"",J86&lt;&gt;""),I86/(I86+J86),"")</f>
        <v/>
      </c>
      <c r="L86" s="5" t="n"/>
      <c r="M86" s="5" t="n"/>
      <c r="N86" s="4" t="n"/>
      <c r="O86" s="5" t="n"/>
      <c r="P86" s="5" t="n"/>
    </row>
    <row r="87">
      <c r="A87" s="10">
        <f>IF(B87&lt;&gt;"","ALT-"&amp;TEXT(ROW()-8,"000"),"")</f>
        <v/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12">
        <f>IF(AND(I87&lt;&gt;"",J87&lt;&gt;""),I87/(I87+J87),"")</f>
        <v/>
      </c>
      <c r="L87" s="5" t="n"/>
      <c r="M87" s="5" t="n"/>
      <c r="N87" s="4" t="n"/>
      <c r="O87" s="5" t="n"/>
      <c r="P87" s="5" t="n"/>
    </row>
    <row r="88">
      <c r="A88" s="10">
        <f>IF(B88&lt;&gt;"","ALT-"&amp;TEXT(ROW()-8,"000"),"")</f>
        <v/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12">
        <f>IF(AND(I88&lt;&gt;"",J88&lt;&gt;""),I88/(I88+J88),"")</f>
        <v/>
      </c>
      <c r="L88" s="5" t="n"/>
      <c r="M88" s="5" t="n"/>
      <c r="N88" s="4" t="n"/>
      <c r="O88" s="5" t="n"/>
      <c r="P88" s="5" t="n"/>
    </row>
    <row r="89">
      <c r="A89" s="10">
        <f>IF(B89&lt;&gt;"","ALT-"&amp;TEXT(ROW()-8,"000"),"")</f>
        <v/>
      </c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12">
        <f>IF(AND(I89&lt;&gt;"",J89&lt;&gt;""),I89/(I89+J89),"")</f>
        <v/>
      </c>
      <c r="L89" s="5" t="n"/>
      <c r="M89" s="5" t="n"/>
      <c r="N89" s="4" t="n"/>
      <c r="O89" s="5" t="n"/>
      <c r="P89" s="5" t="n"/>
    </row>
    <row r="90">
      <c r="A90" s="10">
        <f>IF(B90&lt;&gt;"","ALT-"&amp;TEXT(ROW()-8,"000"),"")</f>
        <v/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12">
        <f>IF(AND(I90&lt;&gt;"",J90&lt;&gt;""),I90/(I90+J90),"")</f>
        <v/>
      </c>
      <c r="L90" s="5" t="n"/>
      <c r="M90" s="5" t="n"/>
      <c r="N90" s="4" t="n"/>
      <c r="O90" s="5" t="n"/>
      <c r="P90" s="5" t="n"/>
    </row>
    <row r="91">
      <c r="A91" s="10">
        <f>IF(B91&lt;&gt;"","ALT-"&amp;TEXT(ROW()-8,"000"),"")</f>
        <v/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12">
        <f>IF(AND(I91&lt;&gt;"",J91&lt;&gt;""),I91/(I91+J91),"")</f>
        <v/>
      </c>
      <c r="L91" s="5" t="n"/>
      <c r="M91" s="5" t="n"/>
      <c r="N91" s="4" t="n"/>
      <c r="O91" s="5" t="n"/>
      <c r="P91" s="5" t="n"/>
    </row>
    <row r="92">
      <c r="A92" s="10">
        <f>IF(B92&lt;&gt;"","ALT-"&amp;TEXT(ROW()-8,"000"),"")</f>
        <v/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12">
        <f>IF(AND(I92&lt;&gt;"",J92&lt;&gt;""),I92/(I92+J92),"")</f>
        <v/>
      </c>
      <c r="L92" s="5" t="n"/>
      <c r="M92" s="5" t="n"/>
      <c r="N92" s="4" t="n"/>
      <c r="O92" s="5" t="n"/>
      <c r="P92" s="5" t="n"/>
    </row>
    <row r="93">
      <c r="A93" s="10">
        <f>IF(B93&lt;&gt;"","ALT-"&amp;TEXT(ROW()-8,"000"),"")</f>
        <v/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12">
        <f>IF(AND(I93&lt;&gt;"",J93&lt;&gt;""),I93/(I93+J93),"")</f>
        <v/>
      </c>
      <c r="L93" s="5" t="n"/>
      <c r="M93" s="5" t="n"/>
      <c r="N93" s="4" t="n"/>
      <c r="O93" s="5" t="n"/>
      <c r="P93" s="5" t="n"/>
    </row>
    <row r="94">
      <c r="A94" s="10">
        <f>IF(B94&lt;&gt;"","ALT-"&amp;TEXT(ROW()-8,"000"),"")</f>
        <v/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12">
        <f>IF(AND(I94&lt;&gt;"",J94&lt;&gt;""),I94/(I94+J94),"")</f>
        <v/>
      </c>
      <c r="L94" s="5" t="n"/>
      <c r="M94" s="5" t="n"/>
      <c r="N94" s="4" t="n"/>
      <c r="O94" s="5" t="n"/>
      <c r="P94" s="5" t="n"/>
    </row>
    <row r="95">
      <c r="A95" s="10">
        <f>IF(B95&lt;&gt;"","ALT-"&amp;TEXT(ROW()-8,"000"),"")</f>
        <v/>
      </c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12">
        <f>IF(AND(I95&lt;&gt;"",J95&lt;&gt;""),I95/(I95+J95),"")</f>
        <v/>
      </c>
      <c r="L95" s="5" t="n"/>
      <c r="M95" s="5" t="n"/>
      <c r="N95" s="4" t="n"/>
      <c r="O95" s="5" t="n"/>
      <c r="P95" s="5" t="n"/>
    </row>
    <row r="96">
      <c r="A96" s="10">
        <f>IF(B96&lt;&gt;"","ALT-"&amp;TEXT(ROW()-8,"000"),"")</f>
        <v/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12">
        <f>IF(AND(I96&lt;&gt;"",J96&lt;&gt;""),I96/(I96+J96),"")</f>
        <v/>
      </c>
      <c r="L96" s="5" t="n"/>
      <c r="M96" s="5" t="n"/>
      <c r="N96" s="4" t="n"/>
      <c r="O96" s="5" t="n"/>
      <c r="P96" s="5" t="n"/>
    </row>
    <row r="97">
      <c r="A97" s="10">
        <f>IF(B97&lt;&gt;"","ALT-"&amp;TEXT(ROW()-8,"000"),"")</f>
        <v/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12">
        <f>IF(AND(I97&lt;&gt;"",J97&lt;&gt;""),I97/(I97+J97),"")</f>
        <v/>
      </c>
      <c r="L97" s="5" t="n"/>
      <c r="M97" s="5" t="n"/>
      <c r="N97" s="4" t="n"/>
      <c r="O97" s="5" t="n"/>
      <c r="P97" s="5" t="n"/>
    </row>
    <row r="98">
      <c r="A98" s="10">
        <f>IF(B98&lt;&gt;"","ALT-"&amp;TEXT(ROW()-8,"000"),"")</f>
        <v/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12">
        <f>IF(AND(I98&lt;&gt;"",J98&lt;&gt;""),I98/(I98+J98),"")</f>
        <v/>
      </c>
      <c r="L98" s="5" t="n"/>
      <c r="M98" s="5" t="n"/>
      <c r="N98" s="4" t="n"/>
      <c r="O98" s="5" t="n"/>
      <c r="P98" s="5" t="n"/>
    </row>
    <row r="99">
      <c r="A99" s="10">
        <f>IF(B99&lt;&gt;"","ALT-"&amp;TEXT(ROW()-8,"000"),"")</f>
        <v/>
      </c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12">
        <f>IF(AND(I99&lt;&gt;"",J99&lt;&gt;""),I99/(I99+J99),"")</f>
        <v/>
      </c>
      <c r="L99" s="5" t="n"/>
      <c r="M99" s="5" t="n"/>
      <c r="N99" s="4" t="n"/>
      <c r="O99" s="5" t="n"/>
      <c r="P99" s="5" t="n"/>
    </row>
    <row r="100">
      <c r="A100" s="10">
        <f>IF(B100&lt;&gt;"","ALT-"&amp;TEXT(ROW()-8,"000"),"")</f>
        <v/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12">
        <f>IF(AND(I100&lt;&gt;"",J100&lt;&gt;""),I100/(I100+J100),"")</f>
        <v/>
      </c>
      <c r="L100" s="5" t="n"/>
      <c r="M100" s="5" t="n"/>
      <c r="N100" s="4" t="n"/>
      <c r="O100" s="5" t="n"/>
      <c r="P100" s="5" t="n"/>
    </row>
    <row r="101">
      <c r="A101" s="10">
        <f>IF(B101&lt;&gt;"","ALT-"&amp;TEXT(ROW()-8,"000"),"")</f>
        <v/>
      </c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12">
        <f>IF(AND(I101&lt;&gt;"",J101&lt;&gt;""),I101/(I101+J101),"")</f>
        <v/>
      </c>
      <c r="L101" s="5" t="n"/>
      <c r="M101" s="5" t="n"/>
      <c r="N101" s="4" t="n"/>
      <c r="O101" s="5" t="n"/>
      <c r="P101" s="5" t="n"/>
    </row>
    <row r="102">
      <c r="A102" s="10">
        <f>IF(B102&lt;&gt;"","ALT-"&amp;TEXT(ROW()-8,"000"),"")</f>
        <v/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12">
        <f>IF(AND(I102&lt;&gt;"",J102&lt;&gt;""),I102/(I102+J102),"")</f>
        <v/>
      </c>
      <c r="L102" s="5" t="n"/>
      <c r="M102" s="5" t="n"/>
      <c r="N102" s="4" t="n"/>
      <c r="O102" s="5" t="n"/>
      <c r="P102" s="5" t="n"/>
    </row>
    <row r="103">
      <c r="A103" s="10">
        <f>IF(B103&lt;&gt;"","ALT-"&amp;TEXT(ROW()-8,"000"),"")</f>
        <v/>
      </c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12">
        <f>IF(AND(I103&lt;&gt;"",J103&lt;&gt;""),I103/(I103+J103),"")</f>
        <v/>
      </c>
      <c r="L103" s="5" t="n"/>
      <c r="M103" s="5" t="n"/>
      <c r="N103" s="4" t="n"/>
      <c r="O103" s="5" t="n"/>
      <c r="P103" s="5" t="n"/>
    </row>
    <row r="104">
      <c r="A104" s="10">
        <f>IF(B104&lt;&gt;"","ALT-"&amp;TEXT(ROW()-8,"000"),"")</f>
        <v/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12">
        <f>IF(AND(I104&lt;&gt;"",J104&lt;&gt;""),I104/(I104+J104),"")</f>
        <v/>
      </c>
      <c r="L104" s="5" t="n"/>
      <c r="M104" s="5" t="n"/>
      <c r="N104" s="4" t="n"/>
      <c r="O104" s="5" t="n"/>
      <c r="P104" s="5" t="n"/>
    </row>
    <row r="105">
      <c r="A105" s="10">
        <f>IF(B105&lt;&gt;"","ALT-"&amp;TEXT(ROW()-8,"000"),"")</f>
        <v/>
      </c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12">
        <f>IF(AND(I105&lt;&gt;"",J105&lt;&gt;""),I105/(I105+J105),"")</f>
        <v/>
      </c>
      <c r="L105" s="5" t="n"/>
      <c r="M105" s="5" t="n"/>
      <c r="N105" s="4" t="n"/>
      <c r="O105" s="5" t="n"/>
      <c r="P105" s="5" t="n"/>
    </row>
    <row r="106">
      <c r="A106" s="10">
        <f>IF(B106&lt;&gt;"","ALT-"&amp;TEXT(ROW()-8,"000"),"")</f>
        <v/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12">
        <f>IF(AND(I106&lt;&gt;"",J106&lt;&gt;""),I106/(I106+J106),"")</f>
        <v/>
      </c>
      <c r="L106" s="5" t="n"/>
      <c r="M106" s="5" t="n"/>
      <c r="N106" s="4" t="n"/>
      <c r="O106" s="5" t="n"/>
      <c r="P106" s="5" t="n"/>
    </row>
    <row r="107">
      <c r="A107" s="10">
        <f>IF(B107&lt;&gt;"","ALT-"&amp;TEXT(ROW()-8,"000"),"")</f>
        <v/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12">
        <f>IF(AND(I107&lt;&gt;"",J107&lt;&gt;""),I107/(I107+J107),"")</f>
        <v/>
      </c>
      <c r="L107" s="5" t="n"/>
      <c r="M107" s="5" t="n"/>
      <c r="N107" s="4" t="n"/>
      <c r="O107" s="5" t="n"/>
      <c r="P107" s="5" t="n"/>
    </row>
    <row r="108">
      <c r="A108" s="10">
        <f>IF(B108&lt;&gt;"","ALT-"&amp;TEXT(ROW()-8,"000"),"")</f>
        <v/>
      </c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12">
        <f>IF(AND(I108&lt;&gt;"",J108&lt;&gt;""),I108/(I108+J108),"")</f>
        <v/>
      </c>
      <c r="L108" s="5" t="n"/>
      <c r="M108" s="5" t="n"/>
      <c r="N108" s="4" t="n"/>
      <c r="O108" s="5" t="n"/>
      <c r="P108" s="5" t="n"/>
    </row>
    <row r="109">
      <c r="A109" s="10">
        <f>IF(B109&lt;&gt;"","ALT-"&amp;TEXT(ROW()-8,"000"),"")</f>
        <v/>
      </c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12">
        <f>IF(AND(I109&lt;&gt;"",J109&lt;&gt;""),I109/(I109+J109),"")</f>
        <v/>
      </c>
      <c r="L109" s="5" t="n"/>
      <c r="M109" s="5" t="n"/>
      <c r="N109" s="4" t="n"/>
      <c r="O109" s="5" t="n"/>
      <c r="P109" s="5" t="n"/>
    </row>
    <row r="110">
      <c r="A110" s="10">
        <f>IF(B110&lt;&gt;"","ALT-"&amp;TEXT(ROW()-8,"000"),"")</f>
        <v/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12">
        <f>IF(AND(I110&lt;&gt;"",J110&lt;&gt;""),I110/(I110+J110),"")</f>
        <v/>
      </c>
      <c r="L110" s="5" t="n"/>
      <c r="M110" s="5" t="n"/>
      <c r="N110" s="4" t="n"/>
      <c r="O110" s="5" t="n"/>
      <c r="P110" s="5" t="n"/>
    </row>
    <row r="111">
      <c r="A111" s="10">
        <f>IF(B111&lt;&gt;"","ALT-"&amp;TEXT(ROW()-8,"000"),"")</f>
        <v/>
      </c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12">
        <f>IF(AND(I111&lt;&gt;"",J111&lt;&gt;""),I111/(I111+J111),"")</f>
        <v/>
      </c>
      <c r="L111" s="5" t="n"/>
      <c r="M111" s="5" t="n"/>
      <c r="N111" s="4" t="n"/>
      <c r="O111" s="5" t="n"/>
      <c r="P111" s="5" t="n"/>
    </row>
    <row r="112">
      <c r="A112" s="10">
        <f>IF(B112&lt;&gt;"","ALT-"&amp;TEXT(ROW()-8,"000"),"")</f>
        <v/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12">
        <f>IF(AND(I112&lt;&gt;"",J112&lt;&gt;""),I112/(I112+J112),"")</f>
        <v/>
      </c>
      <c r="L112" s="5" t="n"/>
      <c r="M112" s="5" t="n"/>
      <c r="N112" s="4" t="n"/>
      <c r="O112" s="5" t="n"/>
      <c r="P112" s="5" t="n"/>
    </row>
    <row r="113">
      <c r="A113" s="10">
        <f>IF(B113&lt;&gt;"","ALT-"&amp;TEXT(ROW()-8,"000"),"")</f>
        <v/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12">
        <f>IF(AND(I113&lt;&gt;"",J113&lt;&gt;""),I113/(I113+J113),"")</f>
        <v/>
      </c>
      <c r="L113" s="5" t="n"/>
      <c r="M113" s="5" t="n"/>
      <c r="N113" s="4" t="n"/>
      <c r="O113" s="5" t="n"/>
      <c r="P113" s="5" t="n"/>
    </row>
    <row r="114">
      <c r="A114" s="10">
        <f>IF(B114&lt;&gt;"","ALT-"&amp;TEXT(ROW()-8,"000"),"")</f>
        <v/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12">
        <f>IF(AND(I114&lt;&gt;"",J114&lt;&gt;""),I114/(I114+J114),"")</f>
        <v/>
      </c>
      <c r="L114" s="5" t="n"/>
      <c r="M114" s="5" t="n"/>
      <c r="N114" s="4" t="n"/>
      <c r="O114" s="5" t="n"/>
      <c r="P114" s="5" t="n"/>
    </row>
    <row r="115">
      <c r="A115" s="10">
        <f>IF(B115&lt;&gt;"","ALT-"&amp;TEXT(ROW()-8,"000"),"")</f>
        <v/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12">
        <f>IF(AND(I115&lt;&gt;"",J115&lt;&gt;""),I115/(I115+J115),"")</f>
        <v/>
      </c>
      <c r="L115" s="5" t="n"/>
      <c r="M115" s="5" t="n"/>
      <c r="N115" s="4" t="n"/>
      <c r="O115" s="5" t="n"/>
      <c r="P115" s="5" t="n"/>
    </row>
    <row r="116">
      <c r="A116" s="10">
        <f>IF(B116&lt;&gt;"","ALT-"&amp;TEXT(ROW()-8,"000"),"")</f>
        <v/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12">
        <f>IF(AND(I116&lt;&gt;"",J116&lt;&gt;""),I116/(I116+J116),"")</f>
        <v/>
      </c>
      <c r="L116" s="5" t="n"/>
      <c r="M116" s="5" t="n"/>
      <c r="N116" s="4" t="n"/>
      <c r="O116" s="5" t="n"/>
      <c r="P116" s="5" t="n"/>
    </row>
    <row r="117">
      <c r="A117" s="10">
        <f>IF(B117&lt;&gt;"","ALT-"&amp;TEXT(ROW()-8,"000"),"")</f>
        <v/>
      </c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12">
        <f>IF(AND(I117&lt;&gt;"",J117&lt;&gt;""),I117/(I117+J117),"")</f>
        <v/>
      </c>
      <c r="L117" s="5" t="n"/>
      <c r="M117" s="5" t="n"/>
      <c r="N117" s="4" t="n"/>
      <c r="O117" s="5" t="n"/>
      <c r="P117" s="5" t="n"/>
    </row>
    <row r="118">
      <c r="A118" s="10">
        <f>IF(B118&lt;&gt;"","ALT-"&amp;TEXT(ROW()-8,"000"),"")</f>
        <v/>
      </c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12">
        <f>IF(AND(I118&lt;&gt;"",J118&lt;&gt;""),I118/(I118+J118),"")</f>
        <v/>
      </c>
      <c r="L118" s="5" t="n"/>
      <c r="M118" s="5" t="n"/>
      <c r="N118" s="4" t="n"/>
      <c r="O118" s="5" t="n"/>
      <c r="P118" s="5" t="n"/>
    </row>
    <row r="119">
      <c r="A119" s="10">
        <f>IF(B119&lt;&gt;"","ALT-"&amp;TEXT(ROW()-8,"000"),"")</f>
        <v/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12">
        <f>IF(AND(I119&lt;&gt;"",J119&lt;&gt;""),I119/(I119+J119),"")</f>
        <v/>
      </c>
      <c r="L119" s="5" t="n"/>
      <c r="M119" s="5" t="n"/>
      <c r="N119" s="4" t="n"/>
      <c r="O119" s="5" t="n"/>
      <c r="P119" s="5" t="n"/>
    </row>
    <row r="120">
      <c r="A120" s="10">
        <f>IF(B120&lt;&gt;"","ALT-"&amp;TEXT(ROW()-8,"000"),"")</f>
        <v/>
      </c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12">
        <f>IF(AND(I120&lt;&gt;"",J120&lt;&gt;""),I120/(I120+J120),"")</f>
        <v/>
      </c>
      <c r="L120" s="5" t="n"/>
      <c r="M120" s="5" t="n"/>
      <c r="N120" s="4" t="n"/>
      <c r="O120" s="5" t="n"/>
      <c r="P120" s="5" t="n"/>
    </row>
    <row r="121">
      <c r="A121" s="10">
        <f>IF(B121&lt;&gt;"","ALT-"&amp;TEXT(ROW()-8,"000"),"")</f>
        <v/>
      </c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12">
        <f>IF(AND(I121&lt;&gt;"",J121&lt;&gt;""),I121/(I121+J121),"")</f>
        <v/>
      </c>
      <c r="L121" s="5" t="n"/>
      <c r="M121" s="5" t="n"/>
      <c r="N121" s="4" t="n"/>
      <c r="O121" s="5" t="n"/>
      <c r="P121" s="5" t="n"/>
    </row>
    <row r="122">
      <c r="A122" s="10">
        <f>IF(B122&lt;&gt;"","ALT-"&amp;TEXT(ROW()-8,"000"),"")</f>
        <v/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12">
        <f>IF(AND(I122&lt;&gt;"",J122&lt;&gt;""),I122/(I122+J122),"")</f>
        <v/>
      </c>
      <c r="L122" s="5" t="n"/>
      <c r="M122" s="5" t="n"/>
      <c r="N122" s="4" t="n"/>
      <c r="O122" s="5" t="n"/>
      <c r="P122" s="5" t="n"/>
    </row>
    <row r="123">
      <c r="A123" s="10">
        <f>IF(B123&lt;&gt;"","ALT-"&amp;TEXT(ROW()-8,"000"),"")</f>
        <v/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12">
        <f>IF(AND(I123&lt;&gt;"",J123&lt;&gt;""),I123/(I123+J123),"")</f>
        <v/>
      </c>
      <c r="L123" s="5" t="n"/>
      <c r="M123" s="5" t="n"/>
      <c r="N123" s="4" t="n"/>
      <c r="O123" s="5" t="n"/>
      <c r="P123" s="5" t="n"/>
    </row>
    <row r="124">
      <c r="A124" s="10">
        <f>IF(B124&lt;&gt;"","ALT-"&amp;TEXT(ROW()-8,"000"),"")</f>
        <v/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12">
        <f>IF(AND(I124&lt;&gt;"",J124&lt;&gt;""),I124/(I124+J124),"")</f>
        <v/>
      </c>
      <c r="L124" s="5" t="n"/>
      <c r="M124" s="5" t="n"/>
      <c r="N124" s="4" t="n"/>
      <c r="O124" s="5" t="n"/>
      <c r="P124" s="5" t="n"/>
    </row>
    <row r="125">
      <c r="A125" s="10">
        <f>IF(B125&lt;&gt;"","ALT-"&amp;TEXT(ROW()-8,"000"),"")</f>
        <v/>
      </c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12">
        <f>IF(AND(I125&lt;&gt;"",J125&lt;&gt;""),I125/(I125+J125),"")</f>
        <v/>
      </c>
      <c r="L125" s="5" t="n"/>
      <c r="M125" s="5" t="n"/>
      <c r="N125" s="4" t="n"/>
      <c r="O125" s="5" t="n"/>
      <c r="P125" s="5" t="n"/>
    </row>
    <row r="126">
      <c r="A126" s="10">
        <f>IF(B126&lt;&gt;"","ALT-"&amp;TEXT(ROW()-8,"000"),"")</f>
        <v/>
      </c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12">
        <f>IF(AND(I126&lt;&gt;"",J126&lt;&gt;""),I126/(I126+J126),"")</f>
        <v/>
      </c>
      <c r="L126" s="5" t="n"/>
      <c r="M126" s="5" t="n"/>
      <c r="N126" s="4" t="n"/>
      <c r="O126" s="5" t="n"/>
      <c r="P126" s="5" t="n"/>
    </row>
    <row r="127">
      <c r="A127" s="10">
        <f>IF(B127&lt;&gt;"","ALT-"&amp;TEXT(ROW()-8,"000"),"")</f>
        <v/>
      </c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12">
        <f>IF(AND(I127&lt;&gt;"",J127&lt;&gt;""),I127/(I127+J127),"")</f>
        <v/>
      </c>
      <c r="L127" s="5" t="n"/>
      <c r="M127" s="5" t="n"/>
      <c r="N127" s="4" t="n"/>
      <c r="O127" s="5" t="n"/>
      <c r="P127" s="5" t="n"/>
    </row>
    <row r="128">
      <c r="A128" s="10">
        <f>IF(B128&lt;&gt;"","ALT-"&amp;TEXT(ROW()-8,"000"),"")</f>
        <v/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12">
        <f>IF(AND(I128&lt;&gt;"",J128&lt;&gt;""),I128/(I128+J128),"")</f>
        <v/>
      </c>
      <c r="L128" s="5" t="n"/>
      <c r="M128" s="5" t="n"/>
      <c r="N128" s="4" t="n"/>
      <c r="O128" s="5" t="n"/>
      <c r="P128" s="5" t="n"/>
    </row>
    <row r="129">
      <c r="A129" s="10">
        <f>IF(B129&lt;&gt;"","ALT-"&amp;TEXT(ROW()-8,"000"),"")</f>
        <v/>
      </c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12">
        <f>IF(AND(I129&lt;&gt;"",J129&lt;&gt;""),I129/(I129+J129),"")</f>
        <v/>
      </c>
      <c r="L129" s="5" t="n"/>
      <c r="M129" s="5" t="n"/>
      <c r="N129" s="4" t="n"/>
      <c r="O129" s="5" t="n"/>
      <c r="P129" s="5" t="n"/>
    </row>
    <row r="130">
      <c r="A130" s="10">
        <f>IF(B130&lt;&gt;"","ALT-"&amp;TEXT(ROW()-8,"000"),"")</f>
        <v/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12">
        <f>IF(AND(I130&lt;&gt;"",J130&lt;&gt;""),I130/(I130+J130),"")</f>
        <v/>
      </c>
      <c r="L130" s="5" t="n"/>
      <c r="M130" s="5" t="n"/>
      <c r="N130" s="4" t="n"/>
      <c r="O130" s="5" t="n"/>
      <c r="P130" s="5" t="n"/>
    </row>
    <row r="131">
      <c r="A131" s="10">
        <f>IF(B131&lt;&gt;"","ALT-"&amp;TEXT(ROW()-8,"000"),"")</f>
        <v/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12">
        <f>IF(AND(I131&lt;&gt;"",J131&lt;&gt;""),I131/(I131+J131),"")</f>
        <v/>
      </c>
      <c r="L131" s="5" t="n"/>
      <c r="M131" s="5" t="n"/>
      <c r="N131" s="4" t="n"/>
      <c r="O131" s="5" t="n"/>
      <c r="P131" s="5" t="n"/>
    </row>
    <row r="132">
      <c r="A132" s="10">
        <f>IF(B132&lt;&gt;"","ALT-"&amp;TEXT(ROW()-8,"000"),"")</f>
        <v/>
      </c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12">
        <f>IF(AND(I132&lt;&gt;"",J132&lt;&gt;""),I132/(I132+J132),"")</f>
        <v/>
      </c>
      <c r="L132" s="5" t="n"/>
      <c r="M132" s="5" t="n"/>
      <c r="N132" s="4" t="n"/>
      <c r="O132" s="5" t="n"/>
      <c r="P132" s="5" t="n"/>
    </row>
    <row r="133">
      <c r="A133" s="10">
        <f>IF(B133&lt;&gt;"","ALT-"&amp;TEXT(ROW()-8,"000"),"")</f>
        <v/>
      </c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12">
        <f>IF(AND(I133&lt;&gt;"",J133&lt;&gt;""),I133/(I133+J133),"")</f>
        <v/>
      </c>
      <c r="L133" s="5" t="n"/>
      <c r="M133" s="5" t="n"/>
      <c r="N133" s="4" t="n"/>
      <c r="O133" s="5" t="n"/>
      <c r="P133" s="5" t="n"/>
    </row>
    <row r="134">
      <c r="A134" s="10">
        <f>IF(B134&lt;&gt;"","ALT-"&amp;TEXT(ROW()-8,"000"),"")</f>
        <v/>
      </c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12">
        <f>IF(AND(I134&lt;&gt;"",J134&lt;&gt;""),I134/(I134+J134),"")</f>
        <v/>
      </c>
      <c r="L134" s="5" t="n"/>
      <c r="M134" s="5" t="n"/>
      <c r="N134" s="4" t="n"/>
      <c r="O134" s="5" t="n"/>
      <c r="P134" s="5" t="n"/>
    </row>
    <row r="135">
      <c r="A135" s="10">
        <f>IF(B135&lt;&gt;"","ALT-"&amp;TEXT(ROW()-8,"000"),"")</f>
        <v/>
      </c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12">
        <f>IF(AND(I135&lt;&gt;"",J135&lt;&gt;""),I135/(I135+J135),"")</f>
        <v/>
      </c>
      <c r="L135" s="5" t="n"/>
      <c r="M135" s="5" t="n"/>
      <c r="N135" s="4" t="n"/>
      <c r="O135" s="5" t="n"/>
      <c r="P135" s="5" t="n"/>
    </row>
    <row r="136">
      <c r="A136" s="10">
        <f>IF(B136&lt;&gt;"","ALT-"&amp;TEXT(ROW()-8,"000"),"")</f>
        <v/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12">
        <f>IF(AND(I136&lt;&gt;"",J136&lt;&gt;""),I136/(I136+J136),"")</f>
        <v/>
      </c>
      <c r="L136" s="5" t="n"/>
      <c r="M136" s="5" t="n"/>
      <c r="N136" s="4" t="n"/>
      <c r="O136" s="5" t="n"/>
      <c r="P136" s="5" t="n"/>
    </row>
    <row r="137">
      <c r="A137" s="10">
        <f>IF(B137&lt;&gt;"","ALT-"&amp;TEXT(ROW()-8,"000"),"")</f>
        <v/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12">
        <f>IF(AND(I137&lt;&gt;"",J137&lt;&gt;""),I137/(I137+J137),"")</f>
        <v/>
      </c>
      <c r="L137" s="5" t="n"/>
      <c r="M137" s="5" t="n"/>
      <c r="N137" s="4" t="n"/>
      <c r="O137" s="5" t="n"/>
      <c r="P137" s="5" t="n"/>
    </row>
    <row r="138">
      <c r="A138" s="10">
        <f>IF(B138&lt;&gt;"","ALT-"&amp;TEXT(ROW()-8,"000"),"")</f>
        <v/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12">
        <f>IF(AND(I138&lt;&gt;"",J138&lt;&gt;""),I138/(I138+J138),"")</f>
        <v/>
      </c>
      <c r="L138" s="5" t="n"/>
      <c r="M138" s="5" t="n"/>
      <c r="N138" s="4" t="n"/>
      <c r="O138" s="5" t="n"/>
      <c r="P138" s="5" t="n"/>
    </row>
    <row r="139">
      <c r="A139" s="10">
        <f>IF(B139&lt;&gt;"","ALT-"&amp;TEXT(ROW()-8,"000"),"")</f>
        <v/>
      </c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12">
        <f>IF(AND(I139&lt;&gt;"",J139&lt;&gt;""),I139/(I139+J139),"")</f>
        <v/>
      </c>
      <c r="L139" s="5" t="n"/>
      <c r="M139" s="5" t="n"/>
      <c r="N139" s="4" t="n"/>
      <c r="O139" s="5" t="n"/>
      <c r="P139" s="5" t="n"/>
    </row>
    <row r="140">
      <c r="A140" s="10">
        <f>IF(B140&lt;&gt;"","ALT-"&amp;TEXT(ROW()-8,"000"),"")</f>
        <v/>
      </c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12">
        <f>IF(AND(I140&lt;&gt;"",J140&lt;&gt;""),I140/(I140+J140),"")</f>
        <v/>
      </c>
      <c r="L140" s="5" t="n"/>
      <c r="M140" s="5" t="n"/>
      <c r="N140" s="4" t="n"/>
      <c r="O140" s="5" t="n"/>
      <c r="P140" s="5" t="n"/>
    </row>
    <row r="141">
      <c r="A141" s="10">
        <f>IF(B141&lt;&gt;"","ALT-"&amp;TEXT(ROW()-8,"000"),"")</f>
        <v/>
      </c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12">
        <f>IF(AND(I141&lt;&gt;"",J141&lt;&gt;""),I141/(I141+J141),"")</f>
        <v/>
      </c>
      <c r="L141" s="5" t="n"/>
      <c r="M141" s="5" t="n"/>
      <c r="N141" s="4" t="n"/>
      <c r="O141" s="5" t="n"/>
      <c r="P141" s="5" t="n"/>
    </row>
    <row r="142">
      <c r="A142" s="10">
        <f>IF(B142&lt;&gt;"","ALT-"&amp;TEXT(ROW()-8,"000"),"")</f>
        <v/>
      </c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12">
        <f>IF(AND(I142&lt;&gt;"",J142&lt;&gt;""),I142/(I142+J142),"")</f>
        <v/>
      </c>
      <c r="L142" s="5" t="n"/>
      <c r="M142" s="5" t="n"/>
      <c r="N142" s="4" t="n"/>
      <c r="O142" s="5" t="n"/>
      <c r="P142" s="5" t="n"/>
    </row>
    <row r="143">
      <c r="A143" s="10">
        <f>IF(B143&lt;&gt;"","ALT-"&amp;TEXT(ROW()-8,"000"),"")</f>
        <v/>
      </c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12">
        <f>IF(AND(I143&lt;&gt;"",J143&lt;&gt;""),I143/(I143+J143),"")</f>
        <v/>
      </c>
      <c r="L143" s="5" t="n"/>
      <c r="M143" s="5" t="n"/>
      <c r="N143" s="4" t="n"/>
      <c r="O143" s="5" t="n"/>
      <c r="P143" s="5" t="n"/>
    </row>
    <row r="144">
      <c r="A144" s="10">
        <f>IF(B144&lt;&gt;"","ALT-"&amp;TEXT(ROW()-8,"000"),"")</f>
        <v/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12">
        <f>IF(AND(I144&lt;&gt;"",J144&lt;&gt;""),I144/(I144+J144),"")</f>
        <v/>
      </c>
      <c r="L144" s="5" t="n"/>
      <c r="M144" s="5" t="n"/>
      <c r="N144" s="4" t="n"/>
      <c r="O144" s="5" t="n"/>
      <c r="P144" s="5" t="n"/>
    </row>
    <row r="145">
      <c r="A145" s="10">
        <f>IF(B145&lt;&gt;"","ALT-"&amp;TEXT(ROW()-8,"000"),"")</f>
        <v/>
      </c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12">
        <f>IF(AND(I145&lt;&gt;"",J145&lt;&gt;""),I145/(I145+J145),"")</f>
        <v/>
      </c>
      <c r="L145" s="5" t="n"/>
      <c r="M145" s="5" t="n"/>
      <c r="N145" s="4" t="n"/>
      <c r="O145" s="5" t="n"/>
      <c r="P145" s="5" t="n"/>
    </row>
    <row r="146">
      <c r="A146" s="10">
        <f>IF(B146&lt;&gt;"","ALT-"&amp;TEXT(ROW()-8,"000"),"")</f>
        <v/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12">
        <f>IF(AND(I146&lt;&gt;"",J146&lt;&gt;""),I146/(I146+J146),"")</f>
        <v/>
      </c>
      <c r="L146" s="5" t="n"/>
      <c r="M146" s="5" t="n"/>
      <c r="N146" s="4" t="n"/>
      <c r="O146" s="5" t="n"/>
      <c r="P146" s="5" t="n"/>
    </row>
    <row r="147">
      <c r="A147" s="10">
        <f>IF(B147&lt;&gt;"","ALT-"&amp;TEXT(ROW()-8,"000"),"")</f>
        <v/>
      </c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12">
        <f>IF(AND(I147&lt;&gt;"",J147&lt;&gt;""),I147/(I147+J147),"")</f>
        <v/>
      </c>
      <c r="L147" s="5" t="n"/>
      <c r="M147" s="5" t="n"/>
      <c r="N147" s="4" t="n"/>
      <c r="O147" s="5" t="n"/>
      <c r="P147" s="5" t="n"/>
    </row>
    <row r="148">
      <c r="A148" s="10">
        <f>IF(B148&lt;&gt;"","ALT-"&amp;TEXT(ROW()-8,"000"),"")</f>
        <v/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12">
        <f>IF(AND(I148&lt;&gt;"",J148&lt;&gt;""),I148/(I148+J148),"")</f>
        <v/>
      </c>
      <c r="L148" s="5" t="n"/>
      <c r="M148" s="5" t="n"/>
      <c r="N148" s="4" t="n"/>
      <c r="O148" s="5" t="n"/>
      <c r="P148" s="5" t="n"/>
    </row>
    <row r="149">
      <c r="A149" s="10">
        <f>IF(B149&lt;&gt;"","ALT-"&amp;TEXT(ROW()-8,"000"),"")</f>
        <v/>
      </c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12">
        <f>IF(AND(I149&lt;&gt;"",J149&lt;&gt;""),I149/(I149+J149),"")</f>
        <v/>
      </c>
      <c r="L149" s="5" t="n"/>
      <c r="M149" s="5" t="n"/>
      <c r="N149" s="4" t="n"/>
      <c r="O149" s="5" t="n"/>
      <c r="P149" s="5" t="n"/>
    </row>
    <row r="150">
      <c r="A150" s="10">
        <f>IF(B150&lt;&gt;"","ALT-"&amp;TEXT(ROW()-8,"000"),"")</f>
        <v/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12">
        <f>IF(AND(I150&lt;&gt;"",J150&lt;&gt;""),I150/(I150+J150),"")</f>
        <v/>
      </c>
      <c r="L150" s="5" t="n"/>
      <c r="M150" s="5" t="n"/>
      <c r="N150" s="4" t="n"/>
      <c r="O150" s="5" t="n"/>
      <c r="P150" s="5" t="n"/>
    </row>
  </sheetData>
  <mergeCells count="2">
    <mergeCell ref="A1:P1"/>
    <mergeCell ref="A2:P2"/>
  </mergeCells>
  <conditionalFormatting sqref="K9:K150">
    <cfRule type="cellIs" priority="1" operator="greaterThanOrEqual" dxfId="0">
      <formula>0.7</formula>
    </cfRule>
    <cfRule type="cellIs" priority="2" operator="between" dxfId="1">
      <formula>0.5</formula>
      <formula>0.69</formula>
    </cfRule>
    <cfRule type="cellIs" priority="3" operator="lessThan" dxfId="2">
      <formula>0.5</formula>
    </cfRule>
  </conditionalFormatting>
  <dataValidations count="4">
    <dataValidation sqref="C9:C150" showDropDown="0" showInputMessage="0" showErrorMessage="0" allowBlank="1" type="list">
      <formula1>"Authentication,Authorization,Malware,Network,Data Exfiltration,Lateral Movement,Privilege Escalation,Reconnaissance,Other"</formula1>
    </dataValidation>
    <dataValidation sqref="D9:D150" showDropDown="0" showInputMessage="0" showErrorMessage="0" allowBlank="1" type="list">
      <formula1>"Critical,High,Medium,Low,Informational"</formula1>
    </dataValidation>
    <dataValidation sqref="L9:L150 M9:M150" showDropDown="0" showInputMessage="0" showErrorMessage="0" allowBlank="1" type="list">
      <formula1>"Yes,No"</formula1>
    </dataValidation>
    <dataValidation sqref="O9:O150" showDropDown="0" showInputMessage="0" showErrorMessage="0" allowBlank="1" type="list">
      <formula1>"Active,Disabled,Testing,Deprecated"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5" customWidth="1" min="4" max="4"/>
    <col width="25" customWidth="1" min="5" max="5"/>
    <col width="15" customWidth="1" min="6" max="6"/>
    <col width="25" customWidth="1" min="7" max="7"/>
    <col width="15" customWidth="1" min="8" max="8"/>
    <col width="15" customWidth="1" min="9" max="9"/>
    <col width="40" customWidth="1" min="10" max="10"/>
    <col width="40" customWidth="1" min="11" max="11"/>
    <col width="40" customWidth="1" min="12" max="12"/>
    <col width="40" customWidth="1" min="13" max="13"/>
  </cols>
  <sheetData>
    <row r="1" ht="40" customHeight="1">
      <c r="A1" s="1" t="inlineStr">
        <is>
          <t>INVESTIGATION WORKFLOW</t>
        </is>
      </c>
    </row>
    <row r="2" ht="30" customHeight="1">
      <c r="A2" s="6" t="inlineStr">
        <is>
          <t>Document investigation procedures and incident handling per ISMS-POL-A.8.15-S2.4.4</t>
        </is>
      </c>
    </row>
    <row r="7" ht="35" customHeight="1">
      <c r="A7" s="8" t="inlineStr">
        <is>
          <t>Incident ID</t>
        </is>
      </c>
      <c r="B7" s="8" t="inlineStr">
        <is>
          <t>Detection Date</t>
        </is>
      </c>
      <c r="C7" s="8" t="inlineStr">
        <is>
          <t>Alert Source</t>
        </is>
      </c>
      <c r="D7" s="8" t="inlineStr">
        <is>
          <t>Severity</t>
        </is>
      </c>
      <c r="E7" s="8" t="inlineStr">
        <is>
          <t>Incident Type</t>
        </is>
      </c>
      <c r="F7" s="8" t="inlineStr">
        <is>
          <t>Status</t>
        </is>
      </c>
      <c r="G7" s="8" t="inlineStr">
        <is>
          <t>Assigned To</t>
        </is>
      </c>
      <c r="H7" s="8" t="inlineStr">
        <is>
          <t>MTTD (hours)</t>
        </is>
      </c>
      <c r="I7" s="8" t="inlineStr">
        <is>
          <t>MTTR (hours)</t>
        </is>
      </c>
      <c r="J7" s="8" t="inlineStr">
        <is>
          <t>Root Cause</t>
        </is>
      </c>
      <c r="K7" s="8" t="inlineStr">
        <is>
          <t>Actions Taken</t>
        </is>
      </c>
      <c r="L7" s="8" t="inlineStr">
        <is>
          <t>Lessons Learned</t>
        </is>
      </c>
      <c r="M7" s="8" t="inlineStr">
        <is>
          <t>Notes</t>
        </is>
      </c>
    </row>
    <row r="8">
      <c r="A8" s="9" t="inlineStr">
        <is>
          <t>INC-2026-001</t>
        </is>
      </c>
      <c r="B8" s="9" t="inlineStr">
        <is>
          <t>05.01.2026</t>
        </is>
      </c>
      <c r="C8" s="9" t="inlineStr">
        <is>
          <t>ALT-001 (Multiple Failed Logins)</t>
        </is>
      </c>
      <c r="D8" s="9" t="inlineStr">
        <is>
          <t>High</t>
        </is>
      </c>
      <c r="E8" s="9" t="inlineStr">
        <is>
          <t>Brute Force Attack</t>
        </is>
      </c>
      <c r="F8" s="9" t="inlineStr">
        <is>
          <t>Resolved</t>
        </is>
      </c>
      <c r="G8" s="9" t="inlineStr">
        <is>
          <t>SOC Analyst - Jane Smith</t>
        </is>
      </c>
      <c r="H8" s="9" t="inlineStr">
        <is>
          <t>0.5</t>
        </is>
      </c>
      <c r="I8" s="9" t="inlineStr">
        <is>
          <t>2.0</t>
        </is>
      </c>
      <c r="J8" s="9" t="inlineStr">
        <is>
          <t>Automated brute force from compromised botnet</t>
        </is>
      </c>
      <c r="K8" s="9" t="inlineStr">
        <is>
          <t>Blocked source IPs, forced password reset</t>
        </is>
      </c>
      <c r="L8" s="9" t="inlineStr">
        <is>
          <t>Consider rate limiting at firewall</t>
        </is>
      </c>
      <c r="M8" s="9" t="inlineStr">
        <is>
          <t>Customer notified, no data breach</t>
        </is>
      </c>
    </row>
    <row r="9">
      <c r="A9" s="10">
        <f>IF(B9&lt;&gt;"","INC-2026-"&amp;TEXT(ROW()-8,"000"),"")</f>
        <v/>
      </c>
      <c r="B9" s="13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A10" s="10">
        <f>IF(B10&lt;&gt;"","INC-2026-"&amp;TEXT(ROW()-8,"000"),"")</f>
        <v/>
      </c>
      <c r="B10" s="13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10">
        <f>IF(B11&lt;&gt;"","INC-2026-"&amp;TEXT(ROW()-8,"000"),"")</f>
        <v/>
      </c>
      <c r="B11" s="13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10">
        <f>IF(B12&lt;&gt;"","INC-2026-"&amp;TEXT(ROW()-8,"000"),"")</f>
        <v/>
      </c>
      <c r="B12" s="13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10">
        <f>IF(B13&lt;&gt;"","INC-2026-"&amp;TEXT(ROW()-8,"000"),"")</f>
        <v/>
      </c>
      <c r="B13" s="13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A14" s="10">
        <f>IF(B14&lt;&gt;"","INC-2026-"&amp;TEXT(ROW()-8,"000"),"")</f>
        <v/>
      </c>
      <c r="B14" s="13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10">
        <f>IF(B15&lt;&gt;"","INC-2026-"&amp;TEXT(ROW()-8,"000"),"")</f>
        <v/>
      </c>
      <c r="B15" s="13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>
      <c r="A16" s="10">
        <f>IF(B16&lt;&gt;"","INC-2026-"&amp;TEXT(ROW()-8,"000"),"")</f>
        <v/>
      </c>
      <c r="B16" s="13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10">
        <f>IF(B17&lt;&gt;"","INC-2026-"&amp;TEXT(ROW()-8,"000"),"")</f>
        <v/>
      </c>
      <c r="B17" s="13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10">
        <f>IF(B18&lt;&gt;"","INC-2026-"&amp;TEXT(ROW()-8,"000"),"")</f>
        <v/>
      </c>
      <c r="B18" s="13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10">
        <f>IF(B19&lt;&gt;"","INC-2026-"&amp;TEXT(ROW()-8,"000"),"")</f>
        <v/>
      </c>
      <c r="B19" s="13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10">
        <f>IF(B20&lt;&gt;"","INC-2026-"&amp;TEXT(ROW()-8,"000"),"")</f>
        <v/>
      </c>
      <c r="B20" s="13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10">
        <f>IF(B21&lt;&gt;"","INC-2026-"&amp;TEXT(ROW()-8,"000"),"")</f>
        <v/>
      </c>
      <c r="B21" s="13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A22" s="10">
        <f>IF(B22&lt;&gt;"","INC-2026-"&amp;TEXT(ROW()-8,"000"),"")</f>
        <v/>
      </c>
      <c r="B22" s="13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10">
        <f>IF(B23&lt;&gt;"","INC-2026-"&amp;TEXT(ROW()-8,"000"),"")</f>
        <v/>
      </c>
      <c r="B23" s="13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10">
        <f>IF(B24&lt;&gt;"","INC-2026-"&amp;TEXT(ROW()-8,"000"),"")</f>
        <v/>
      </c>
      <c r="B24" s="13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10">
        <f>IF(B25&lt;&gt;"","INC-2026-"&amp;TEXT(ROW()-8,"000"),"")</f>
        <v/>
      </c>
      <c r="B25" s="13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10">
        <f>IF(B26&lt;&gt;"","INC-2026-"&amp;TEXT(ROW()-8,"000"),"")</f>
        <v/>
      </c>
      <c r="B26" s="13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10">
        <f>IF(B27&lt;&gt;"","INC-2026-"&amp;TEXT(ROW()-8,"000"),"")</f>
        <v/>
      </c>
      <c r="B27" s="13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A28" s="10">
        <f>IF(B28&lt;&gt;"","INC-2026-"&amp;TEXT(ROW()-8,"000"),"")</f>
        <v/>
      </c>
      <c r="B28" s="13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10">
        <f>IF(B29&lt;&gt;"","INC-2026-"&amp;TEXT(ROW()-8,"000"),"")</f>
        <v/>
      </c>
      <c r="B29" s="13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</row>
    <row r="30">
      <c r="A30" s="10">
        <f>IF(B30&lt;&gt;"","INC-2026-"&amp;TEXT(ROW()-8,"000"),"")</f>
        <v/>
      </c>
      <c r="B30" s="13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10">
        <f>IF(B31&lt;&gt;"","INC-2026-"&amp;TEXT(ROW()-8,"000"),"")</f>
        <v/>
      </c>
      <c r="B31" s="13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</row>
    <row r="32">
      <c r="A32" s="10">
        <f>IF(B32&lt;&gt;"","INC-2026-"&amp;TEXT(ROW()-8,"000"),"")</f>
        <v/>
      </c>
      <c r="B32" s="13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10">
        <f>IF(B33&lt;&gt;"","INC-2026-"&amp;TEXT(ROW()-8,"000"),"")</f>
        <v/>
      </c>
      <c r="B33" s="13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10">
        <f>IF(B34&lt;&gt;"","INC-2026-"&amp;TEXT(ROW()-8,"000"),"")</f>
        <v/>
      </c>
      <c r="B34" s="13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10">
        <f>IF(B35&lt;&gt;"","INC-2026-"&amp;TEXT(ROW()-8,"000"),"")</f>
        <v/>
      </c>
      <c r="B35" s="13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</row>
    <row r="36">
      <c r="A36" s="10">
        <f>IF(B36&lt;&gt;"","INC-2026-"&amp;TEXT(ROW()-8,"000"),"")</f>
        <v/>
      </c>
      <c r="B36" s="13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10">
        <f>IF(B37&lt;&gt;"","INC-2026-"&amp;TEXT(ROW()-8,"000"),"")</f>
        <v/>
      </c>
      <c r="B37" s="13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A38" s="10">
        <f>IF(B38&lt;&gt;"","INC-2026-"&amp;TEXT(ROW()-8,"000"),"")</f>
        <v/>
      </c>
      <c r="B38" s="13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10">
        <f>IF(B39&lt;&gt;"","INC-2026-"&amp;TEXT(ROW()-8,"000"),"")</f>
        <v/>
      </c>
      <c r="B39" s="13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</row>
    <row r="40">
      <c r="A40" s="10">
        <f>IF(B40&lt;&gt;"","INC-2026-"&amp;TEXT(ROW()-8,"000"),"")</f>
        <v/>
      </c>
      <c r="B40" s="13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10">
        <f>IF(B41&lt;&gt;"","INC-2026-"&amp;TEXT(ROW()-8,"000"),"")</f>
        <v/>
      </c>
      <c r="B41" s="13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>
      <c r="A42" s="10">
        <f>IF(B42&lt;&gt;"","INC-2026-"&amp;TEXT(ROW()-8,"000"),"")</f>
        <v/>
      </c>
      <c r="B42" s="13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10">
        <f>IF(B43&lt;&gt;"","INC-2026-"&amp;TEXT(ROW()-8,"000"),"")</f>
        <v/>
      </c>
      <c r="B43" s="13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</row>
    <row r="44">
      <c r="A44" s="10">
        <f>IF(B44&lt;&gt;"","INC-2026-"&amp;TEXT(ROW()-8,"000"),"")</f>
        <v/>
      </c>
      <c r="B44" s="13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10">
        <f>IF(B45&lt;&gt;"","INC-2026-"&amp;TEXT(ROW()-8,"000"),"")</f>
        <v/>
      </c>
      <c r="B45" s="13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A46" s="10">
        <f>IF(B46&lt;&gt;"","INC-2026-"&amp;TEXT(ROW()-8,"000"),"")</f>
        <v/>
      </c>
      <c r="B46" s="13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10">
        <f>IF(B47&lt;&gt;"","INC-2026-"&amp;TEXT(ROW()-8,"000"),"")</f>
        <v/>
      </c>
      <c r="B47" s="13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</row>
    <row r="48">
      <c r="A48" s="10">
        <f>IF(B48&lt;&gt;"","INC-2026-"&amp;TEXT(ROW()-8,"000"),"")</f>
        <v/>
      </c>
      <c r="B48" s="13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10">
        <f>IF(B49&lt;&gt;"","INC-2026-"&amp;TEXT(ROW()-8,"000"),"")</f>
        <v/>
      </c>
      <c r="B49" s="13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>
      <c r="A50" s="10">
        <f>IF(B50&lt;&gt;"","INC-2026-"&amp;TEXT(ROW()-8,"000"),"")</f>
        <v/>
      </c>
      <c r="B50" s="13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10">
        <f>IF(B51&lt;&gt;"","INC-2026-"&amp;TEXT(ROW()-8,"000"),"")</f>
        <v/>
      </c>
      <c r="B51" s="13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</row>
    <row r="52">
      <c r="A52" s="10">
        <f>IF(B52&lt;&gt;"","INC-2026-"&amp;TEXT(ROW()-8,"000"),"")</f>
        <v/>
      </c>
      <c r="B52" s="13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10">
        <f>IF(B53&lt;&gt;"","INC-2026-"&amp;TEXT(ROW()-8,"000"),"")</f>
        <v/>
      </c>
      <c r="B53" s="13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</row>
    <row r="54">
      <c r="A54" s="10">
        <f>IF(B54&lt;&gt;"","INC-2026-"&amp;TEXT(ROW()-8,"000"),"")</f>
        <v/>
      </c>
      <c r="B54" s="13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10">
        <f>IF(B55&lt;&gt;"","INC-2026-"&amp;TEXT(ROW()-8,"000"),"")</f>
        <v/>
      </c>
      <c r="B55" s="13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</row>
    <row r="56">
      <c r="A56" s="10">
        <f>IF(B56&lt;&gt;"","INC-2026-"&amp;TEXT(ROW()-8,"000"),"")</f>
        <v/>
      </c>
      <c r="B56" s="13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10">
        <f>IF(B57&lt;&gt;"","INC-2026-"&amp;TEXT(ROW()-8,"000"),"")</f>
        <v/>
      </c>
      <c r="B57" s="13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</row>
    <row r="58">
      <c r="A58" s="10">
        <f>IF(B58&lt;&gt;"","INC-2026-"&amp;TEXT(ROW()-8,"000"),"")</f>
        <v/>
      </c>
      <c r="B58" s="13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10">
        <f>IF(B59&lt;&gt;"","INC-2026-"&amp;TEXT(ROW()-8,"000"),"")</f>
        <v/>
      </c>
      <c r="B59" s="13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</row>
    <row r="60">
      <c r="A60" s="10">
        <f>IF(B60&lt;&gt;"","INC-2026-"&amp;TEXT(ROW()-8,"000"),"")</f>
        <v/>
      </c>
      <c r="B60" s="13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10">
        <f>IF(B61&lt;&gt;"","INC-2026-"&amp;TEXT(ROW()-8,"000"),"")</f>
        <v/>
      </c>
      <c r="B61" s="13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</row>
    <row r="62">
      <c r="A62" s="10">
        <f>IF(B62&lt;&gt;"","INC-2026-"&amp;TEXT(ROW()-8,"000"),"")</f>
        <v/>
      </c>
      <c r="B62" s="13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10">
        <f>IF(B63&lt;&gt;"","INC-2026-"&amp;TEXT(ROW()-8,"000"),"")</f>
        <v/>
      </c>
      <c r="B63" s="13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</row>
    <row r="64">
      <c r="A64" s="10">
        <f>IF(B64&lt;&gt;"","INC-2026-"&amp;TEXT(ROW()-8,"000"),"")</f>
        <v/>
      </c>
      <c r="B64" s="13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10">
        <f>IF(B65&lt;&gt;"","INC-2026-"&amp;TEXT(ROW()-8,"000"),"")</f>
        <v/>
      </c>
      <c r="B65" s="13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</row>
    <row r="66">
      <c r="A66" s="10">
        <f>IF(B66&lt;&gt;"","INC-2026-"&amp;TEXT(ROW()-8,"000"),"")</f>
        <v/>
      </c>
      <c r="B66" s="13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10">
        <f>IF(B67&lt;&gt;"","INC-2026-"&amp;TEXT(ROW()-8,"000"),"")</f>
        <v/>
      </c>
      <c r="B67" s="13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</row>
    <row r="68">
      <c r="A68" s="10">
        <f>IF(B68&lt;&gt;"","INC-2026-"&amp;TEXT(ROW()-8,"000"),"")</f>
        <v/>
      </c>
      <c r="B68" s="13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10">
        <f>IF(B69&lt;&gt;"","INC-2026-"&amp;TEXT(ROW()-8,"000"),"")</f>
        <v/>
      </c>
      <c r="B69" s="13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</row>
    <row r="70">
      <c r="A70" s="10">
        <f>IF(B70&lt;&gt;"","INC-2026-"&amp;TEXT(ROW()-8,"000"),"")</f>
        <v/>
      </c>
      <c r="B70" s="13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10">
        <f>IF(B71&lt;&gt;"","INC-2026-"&amp;TEXT(ROW()-8,"000"),"")</f>
        <v/>
      </c>
      <c r="B71" s="13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</row>
    <row r="72">
      <c r="A72" s="10">
        <f>IF(B72&lt;&gt;"","INC-2026-"&amp;TEXT(ROW()-8,"000"),"")</f>
        <v/>
      </c>
      <c r="B72" s="13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10">
        <f>IF(B73&lt;&gt;"","INC-2026-"&amp;TEXT(ROW()-8,"000"),"")</f>
        <v/>
      </c>
      <c r="B73" s="13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</row>
    <row r="74">
      <c r="A74" s="10">
        <f>IF(B74&lt;&gt;"","INC-2026-"&amp;TEXT(ROW()-8,"000"),"")</f>
        <v/>
      </c>
      <c r="B74" s="13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10">
        <f>IF(B75&lt;&gt;"","INC-2026-"&amp;TEXT(ROW()-8,"000"),"")</f>
        <v/>
      </c>
      <c r="B75" s="13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</row>
    <row r="76">
      <c r="A76" s="10">
        <f>IF(B76&lt;&gt;"","INC-2026-"&amp;TEXT(ROW()-8,"000"),"")</f>
        <v/>
      </c>
      <c r="B76" s="13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10">
        <f>IF(B77&lt;&gt;"","INC-2026-"&amp;TEXT(ROW()-8,"000"),"")</f>
        <v/>
      </c>
      <c r="B77" s="13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</row>
    <row r="78">
      <c r="A78" s="10">
        <f>IF(B78&lt;&gt;"","INC-2026-"&amp;TEXT(ROW()-8,"000"),"")</f>
        <v/>
      </c>
      <c r="B78" s="13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10">
        <f>IF(B79&lt;&gt;"","INC-2026-"&amp;TEXT(ROW()-8,"000"),"")</f>
        <v/>
      </c>
      <c r="B79" s="13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</row>
    <row r="80">
      <c r="A80" s="10">
        <f>IF(B80&lt;&gt;"","INC-2026-"&amp;TEXT(ROW()-8,"000"),"")</f>
        <v/>
      </c>
      <c r="B80" s="13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10">
        <f>IF(B81&lt;&gt;"","INC-2026-"&amp;TEXT(ROW()-8,"000"),"")</f>
        <v/>
      </c>
      <c r="B81" s="13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</row>
    <row r="82">
      <c r="A82" s="10">
        <f>IF(B82&lt;&gt;"","INC-2026-"&amp;TEXT(ROW()-8,"000"),"")</f>
        <v/>
      </c>
      <c r="B82" s="13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10">
        <f>IF(B83&lt;&gt;"","INC-2026-"&amp;TEXT(ROW()-8,"000"),"")</f>
        <v/>
      </c>
      <c r="B83" s="13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</row>
    <row r="84">
      <c r="A84" s="10">
        <f>IF(B84&lt;&gt;"","INC-2026-"&amp;TEXT(ROW()-8,"000"),"")</f>
        <v/>
      </c>
      <c r="B84" s="13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10">
        <f>IF(B85&lt;&gt;"","INC-2026-"&amp;TEXT(ROW()-8,"000"),"")</f>
        <v/>
      </c>
      <c r="B85" s="13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</row>
    <row r="86">
      <c r="A86" s="10">
        <f>IF(B86&lt;&gt;"","INC-2026-"&amp;TEXT(ROW()-8,"000"),"")</f>
        <v/>
      </c>
      <c r="B86" s="13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10">
        <f>IF(B87&lt;&gt;"","INC-2026-"&amp;TEXT(ROW()-8,"000"),"")</f>
        <v/>
      </c>
      <c r="B87" s="13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</row>
    <row r="88">
      <c r="A88" s="10">
        <f>IF(B88&lt;&gt;"","INC-2026-"&amp;TEXT(ROW()-8,"000"),"")</f>
        <v/>
      </c>
      <c r="B88" s="13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10">
        <f>IF(B89&lt;&gt;"","INC-2026-"&amp;TEXT(ROW()-8,"000"),"")</f>
        <v/>
      </c>
      <c r="B89" s="13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</row>
    <row r="90">
      <c r="A90" s="10">
        <f>IF(B90&lt;&gt;"","INC-2026-"&amp;TEXT(ROW()-8,"000"),"")</f>
        <v/>
      </c>
      <c r="B90" s="13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10">
        <f>IF(B91&lt;&gt;"","INC-2026-"&amp;TEXT(ROW()-8,"000"),"")</f>
        <v/>
      </c>
      <c r="B91" s="13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</row>
    <row r="92">
      <c r="A92" s="10">
        <f>IF(B92&lt;&gt;"","INC-2026-"&amp;TEXT(ROW()-8,"000"),"")</f>
        <v/>
      </c>
      <c r="B92" s="13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10">
        <f>IF(B93&lt;&gt;"","INC-2026-"&amp;TEXT(ROW()-8,"000"),"")</f>
        <v/>
      </c>
      <c r="B93" s="13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</row>
    <row r="94">
      <c r="A94" s="10">
        <f>IF(B94&lt;&gt;"","INC-2026-"&amp;TEXT(ROW()-8,"000"),"")</f>
        <v/>
      </c>
      <c r="B94" s="13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10">
        <f>IF(B95&lt;&gt;"","INC-2026-"&amp;TEXT(ROW()-8,"000"),"")</f>
        <v/>
      </c>
      <c r="B95" s="13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</row>
    <row r="96">
      <c r="A96" s="10">
        <f>IF(B96&lt;&gt;"","INC-2026-"&amp;TEXT(ROW()-8,"000"),"")</f>
        <v/>
      </c>
      <c r="B96" s="13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10">
        <f>IF(B97&lt;&gt;"","INC-2026-"&amp;TEXT(ROW()-8,"000"),"")</f>
        <v/>
      </c>
      <c r="B97" s="13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</row>
    <row r="98">
      <c r="A98" s="10">
        <f>IF(B98&lt;&gt;"","INC-2026-"&amp;TEXT(ROW()-8,"000"),"")</f>
        <v/>
      </c>
      <c r="B98" s="13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10">
        <f>IF(B99&lt;&gt;"","INC-2026-"&amp;TEXT(ROW()-8,"000"),"")</f>
        <v/>
      </c>
      <c r="B99" s="13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</row>
    <row r="100">
      <c r="A100" s="10">
        <f>IF(B100&lt;&gt;"","INC-2026-"&amp;TEXT(ROW()-8,"000"),"")</f>
        <v/>
      </c>
      <c r="B100" s="13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10">
        <f>IF(B101&lt;&gt;"","INC-2026-"&amp;TEXT(ROW()-8,"000"),"")</f>
        <v/>
      </c>
      <c r="B101" s="13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</row>
    <row r="102">
      <c r="A102" s="10">
        <f>IF(B102&lt;&gt;"","INC-2026-"&amp;TEXT(ROW()-8,"000"),"")</f>
        <v/>
      </c>
      <c r="B102" s="13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10">
        <f>IF(B103&lt;&gt;"","INC-2026-"&amp;TEXT(ROW()-8,"000"),"")</f>
        <v/>
      </c>
      <c r="B103" s="13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</row>
    <row r="104">
      <c r="A104" s="10">
        <f>IF(B104&lt;&gt;"","INC-2026-"&amp;TEXT(ROW()-8,"000"),"")</f>
        <v/>
      </c>
      <c r="B104" s="13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10">
        <f>IF(B105&lt;&gt;"","INC-2026-"&amp;TEXT(ROW()-8,"000"),"")</f>
        <v/>
      </c>
      <c r="B105" s="13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</row>
    <row r="106">
      <c r="A106" s="10">
        <f>IF(B106&lt;&gt;"","INC-2026-"&amp;TEXT(ROW()-8,"000"),"")</f>
        <v/>
      </c>
      <c r="B106" s="13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10">
        <f>IF(B107&lt;&gt;"","INC-2026-"&amp;TEXT(ROW()-8,"000"),"")</f>
        <v/>
      </c>
      <c r="B107" s="13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</row>
    <row r="108">
      <c r="A108" s="10">
        <f>IF(B108&lt;&gt;"","INC-2026-"&amp;TEXT(ROW()-8,"000"),"")</f>
        <v/>
      </c>
      <c r="B108" s="13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10">
        <f>IF(B109&lt;&gt;"","INC-2026-"&amp;TEXT(ROW()-8,"000"),"")</f>
        <v/>
      </c>
      <c r="B109" s="13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</row>
    <row r="110">
      <c r="A110" s="10">
        <f>IF(B110&lt;&gt;"","INC-2026-"&amp;TEXT(ROW()-8,"000"),"")</f>
        <v/>
      </c>
      <c r="B110" s="13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10">
        <f>IF(B111&lt;&gt;"","INC-2026-"&amp;TEXT(ROW()-8,"000"),"")</f>
        <v/>
      </c>
      <c r="B111" s="13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</row>
    <row r="112">
      <c r="A112" s="10">
        <f>IF(B112&lt;&gt;"","INC-2026-"&amp;TEXT(ROW()-8,"000"),"")</f>
        <v/>
      </c>
      <c r="B112" s="13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10">
        <f>IF(B113&lt;&gt;"","INC-2026-"&amp;TEXT(ROW()-8,"000"),"")</f>
        <v/>
      </c>
      <c r="B113" s="13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</row>
    <row r="114">
      <c r="A114" s="10">
        <f>IF(B114&lt;&gt;"","INC-2026-"&amp;TEXT(ROW()-8,"000"),"")</f>
        <v/>
      </c>
      <c r="B114" s="13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10">
        <f>IF(B115&lt;&gt;"","INC-2026-"&amp;TEXT(ROW()-8,"000"),"")</f>
        <v/>
      </c>
      <c r="B115" s="13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</row>
    <row r="116">
      <c r="A116" s="10">
        <f>IF(B116&lt;&gt;"","INC-2026-"&amp;TEXT(ROW()-8,"000"),"")</f>
        <v/>
      </c>
      <c r="B116" s="13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10">
        <f>IF(B117&lt;&gt;"","INC-2026-"&amp;TEXT(ROW()-8,"000"),"")</f>
        <v/>
      </c>
      <c r="B117" s="13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</row>
    <row r="118">
      <c r="A118" s="10">
        <f>IF(B118&lt;&gt;"","INC-2026-"&amp;TEXT(ROW()-8,"000"),"")</f>
        <v/>
      </c>
      <c r="B118" s="13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10">
        <f>IF(B119&lt;&gt;"","INC-2026-"&amp;TEXT(ROW()-8,"000"),"")</f>
        <v/>
      </c>
      <c r="B119" s="13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</row>
    <row r="120">
      <c r="A120" s="10">
        <f>IF(B120&lt;&gt;"","INC-2026-"&amp;TEXT(ROW()-8,"000"),"")</f>
        <v/>
      </c>
      <c r="B120" s="13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10">
        <f>IF(B121&lt;&gt;"","INC-2026-"&amp;TEXT(ROW()-8,"000"),"")</f>
        <v/>
      </c>
      <c r="B121" s="13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</row>
    <row r="122">
      <c r="A122" s="10">
        <f>IF(B122&lt;&gt;"","INC-2026-"&amp;TEXT(ROW()-8,"000"),"")</f>
        <v/>
      </c>
      <c r="B122" s="13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10">
        <f>IF(B123&lt;&gt;"","INC-2026-"&amp;TEXT(ROW()-8,"000"),"")</f>
        <v/>
      </c>
      <c r="B123" s="13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</row>
    <row r="124">
      <c r="A124" s="10">
        <f>IF(B124&lt;&gt;"","INC-2026-"&amp;TEXT(ROW()-8,"000"),"")</f>
        <v/>
      </c>
      <c r="B124" s="13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10">
        <f>IF(B125&lt;&gt;"","INC-2026-"&amp;TEXT(ROW()-8,"000"),"")</f>
        <v/>
      </c>
      <c r="B125" s="13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</row>
    <row r="126">
      <c r="A126" s="10">
        <f>IF(B126&lt;&gt;"","INC-2026-"&amp;TEXT(ROW()-8,"000"),"")</f>
        <v/>
      </c>
      <c r="B126" s="13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10">
        <f>IF(B127&lt;&gt;"","INC-2026-"&amp;TEXT(ROW()-8,"000"),"")</f>
        <v/>
      </c>
      <c r="B127" s="13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</row>
    <row r="128">
      <c r="A128" s="10">
        <f>IF(B128&lt;&gt;"","INC-2026-"&amp;TEXT(ROW()-8,"000"),"")</f>
        <v/>
      </c>
      <c r="B128" s="13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10">
        <f>IF(B129&lt;&gt;"","INC-2026-"&amp;TEXT(ROW()-8,"000"),"")</f>
        <v/>
      </c>
      <c r="B129" s="13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</row>
    <row r="130">
      <c r="A130" s="10">
        <f>IF(B130&lt;&gt;"","INC-2026-"&amp;TEXT(ROW()-8,"000"),"")</f>
        <v/>
      </c>
      <c r="B130" s="13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10">
        <f>IF(B131&lt;&gt;"","INC-2026-"&amp;TEXT(ROW()-8,"000"),"")</f>
        <v/>
      </c>
      <c r="B131" s="13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</row>
    <row r="132">
      <c r="A132" s="10">
        <f>IF(B132&lt;&gt;"","INC-2026-"&amp;TEXT(ROW()-8,"000"),"")</f>
        <v/>
      </c>
      <c r="B132" s="13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10">
        <f>IF(B133&lt;&gt;"","INC-2026-"&amp;TEXT(ROW()-8,"000"),"")</f>
        <v/>
      </c>
      <c r="B133" s="13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</row>
    <row r="134">
      <c r="A134" s="10">
        <f>IF(B134&lt;&gt;"","INC-2026-"&amp;TEXT(ROW()-8,"000"),"")</f>
        <v/>
      </c>
      <c r="B134" s="13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10">
        <f>IF(B135&lt;&gt;"","INC-2026-"&amp;TEXT(ROW()-8,"000"),"")</f>
        <v/>
      </c>
      <c r="B135" s="13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</row>
    <row r="136">
      <c r="A136" s="10">
        <f>IF(B136&lt;&gt;"","INC-2026-"&amp;TEXT(ROW()-8,"000"),"")</f>
        <v/>
      </c>
      <c r="B136" s="13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10">
        <f>IF(B137&lt;&gt;"","INC-2026-"&amp;TEXT(ROW()-8,"000"),"")</f>
        <v/>
      </c>
      <c r="B137" s="13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</row>
    <row r="138">
      <c r="A138" s="10">
        <f>IF(B138&lt;&gt;"","INC-2026-"&amp;TEXT(ROW()-8,"000"),"")</f>
        <v/>
      </c>
      <c r="B138" s="13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10">
        <f>IF(B139&lt;&gt;"","INC-2026-"&amp;TEXT(ROW()-8,"000"),"")</f>
        <v/>
      </c>
      <c r="B139" s="13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</row>
    <row r="140">
      <c r="A140" s="10">
        <f>IF(B140&lt;&gt;"","INC-2026-"&amp;TEXT(ROW()-8,"000"),"")</f>
        <v/>
      </c>
      <c r="B140" s="13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10">
        <f>IF(B141&lt;&gt;"","INC-2026-"&amp;TEXT(ROW()-8,"000"),"")</f>
        <v/>
      </c>
      <c r="B141" s="13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</row>
    <row r="142">
      <c r="A142" s="10">
        <f>IF(B142&lt;&gt;"","INC-2026-"&amp;TEXT(ROW()-8,"000"),"")</f>
        <v/>
      </c>
      <c r="B142" s="13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10">
        <f>IF(B143&lt;&gt;"","INC-2026-"&amp;TEXT(ROW()-8,"000"),"")</f>
        <v/>
      </c>
      <c r="B143" s="13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</row>
    <row r="144">
      <c r="A144" s="10">
        <f>IF(B144&lt;&gt;"","INC-2026-"&amp;TEXT(ROW()-8,"000"),"")</f>
        <v/>
      </c>
      <c r="B144" s="13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10">
        <f>IF(B145&lt;&gt;"","INC-2026-"&amp;TEXT(ROW()-8,"000"),"")</f>
        <v/>
      </c>
      <c r="B145" s="13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</row>
    <row r="146">
      <c r="A146" s="10">
        <f>IF(B146&lt;&gt;"","INC-2026-"&amp;TEXT(ROW()-8,"000"),"")</f>
        <v/>
      </c>
      <c r="B146" s="13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10">
        <f>IF(B147&lt;&gt;"","INC-2026-"&amp;TEXT(ROW()-8,"000"),"")</f>
        <v/>
      </c>
      <c r="B147" s="13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</row>
    <row r="148">
      <c r="A148" s="10">
        <f>IF(B148&lt;&gt;"","INC-2026-"&amp;TEXT(ROW()-8,"000"),"")</f>
        <v/>
      </c>
      <c r="B148" s="13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10">
        <f>IF(B149&lt;&gt;"","INC-2026-"&amp;TEXT(ROW()-8,"000"),"")</f>
        <v/>
      </c>
      <c r="B149" s="13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</row>
    <row r="150">
      <c r="A150" s="10">
        <f>IF(B150&lt;&gt;"","INC-2026-"&amp;TEXT(ROW()-8,"000"),"")</f>
        <v/>
      </c>
      <c r="B150" s="13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10">
        <f>IF(B151&lt;&gt;"","INC-2026-"&amp;TEXT(ROW()-8,"000"),"")</f>
        <v/>
      </c>
      <c r="B151" s="13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</row>
    <row r="152">
      <c r="A152" s="10">
        <f>IF(B152&lt;&gt;"","INC-2026-"&amp;TEXT(ROW()-8,"000"),"")</f>
        <v/>
      </c>
      <c r="B152" s="13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10">
        <f>IF(B153&lt;&gt;"","INC-2026-"&amp;TEXT(ROW()-8,"000"),"")</f>
        <v/>
      </c>
      <c r="B153" s="13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</row>
    <row r="154">
      <c r="A154" s="10">
        <f>IF(B154&lt;&gt;"","INC-2026-"&amp;TEXT(ROW()-8,"000"),"")</f>
        <v/>
      </c>
      <c r="B154" s="13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10">
        <f>IF(B155&lt;&gt;"","INC-2026-"&amp;TEXT(ROW()-8,"000"),"")</f>
        <v/>
      </c>
      <c r="B155" s="13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</row>
    <row r="156">
      <c r="A156" s="10">
        <f>IF(B156&lt;&gt;"","INC-2026-"&amp;TEXT(ROW()-8,"000"),"")</f>
        <v/>
      </c>
      <c r="B156" s="13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10">
        <f>IF(B157&lt;&gt;"","INC-2026-"&amp;TEXT(ROW()-8,"000"),"")</f>
        <v/>
      </c>
      <c r="B157" s="13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</row>
    <row r="158">
      <c r="A158" s="10">
        <f>IF(B158&lt;&gt;"","INC-2026-"&amp;TEXT(ROW()-8,"000"),"")</f>
        <v/>
      </c>
      <c r="B158" s="13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10">
        <f>IF(B159&lt;&gt;"","INC-2026-"&amp;TEXT(ROW()-8,"000"),"")</f>
        <v/>
      </c>
      <c r="B159" s="13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</row>
    <row r="160">
      <c r="A160" s="10">
        <f>IF(B160&lt;&gt;"","INC-2026-"&amp;TEXT(ROW()-8,"000"),"")</f>
        <v/>
      </c>
      <c r="B160" s="13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10">
        <f>IF(B161&lt;&gt;"","INC-2026-"&amp;TEXT(ROW()-8,"000"),"")</f>
        <v/>
      </c>
      <c r="B161" s="13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</row>
    <row r="162">
      <c r="A162" s="10">
        <f>IF(B162&lt;&gt;"","INC-2026-"&amp;TEXT(ROW()-8,"000"),"")</f>
        <v/>
      </c>
      <c r="B162" s="13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10">
        <f>IF(B163&lt;&gt;"","INC-2026-"&amp;TEXT(ROW()-8,"000"),"")</f>
        <v/>
      </c>
      <c r="B163" s="13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</row>
    <row r="164">
      <c r="A164" s="10">
        <f>IF(B164&lt;&gt;"","INC-2026-"&amp;TEXT(ROW()-8,"000"),"")</f>
        <v/>
      </c>
      <c r="B164" s="13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10">
        <f>IF(B165&lt;&gt;"","INC-2026-"&amp;TEXT(ROW()-8,"000"),"")</f>
        <v/>
      </c>
      <c r="B165" s="13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</row>
    <row r="166">
      <c r="A166" s="10">
        <f>IF(B166&lt;&gt;"","INC-2026-"&amp;TEXT(ROW()-8,"000"),"")</f>
        <v/>
      </c>
      <c r="B166" s="13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10">
        <f>IF(B167&lt;&gt;"","INC-2026-"&amp;TEXT(ROW()-8,"000"),"")</f>
        <v/>
      </c>
      <c r="B167" s="13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</row>
    <row r="168">
      <c r="A168" s="10">
        <f>IF(B168&lt;&gt;"","INC-2026-"&amp;TEXT(ROW()-8,"000"),"")</f>
        <v/>
      </c>
      <c r="B168" s="13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10">
        <f>IF(B169&lt;&gt;"","INC-2026-"&amp;TEXT(ROW()-8,"000"),"")</f>
        <v/>
      </c>
      <c r="B169" s="13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</row>
    <row r="170">
      <c r="A170" s="10">
        <f>IF(B170&lt;&gt;"","INC-2026-"&amp;TEXT(ROW()-8,"000"),"")</f>
        <v/>
      </c>
      <c r="B170" s="13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10">
        <f>IF(B171&lt;&gt;"","INC-2026-"&amp;TEXT(ROW()-8,"000"),"")</f>
        <v/>
      </c>
      <c r="B171" s="13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</row>
    <row r="172">
      <c r="A172" s="10">
        <f>IF(B172&lt;&gt;"","INC-2026-"&amp;TEXT(ROW()-8,"000"),"")</f>
        <v/>
      </c>
      <c r="B172" s="13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10">
        <f>IF(B173&lt;&gt;"","INC-2026-"&amp;TEXT(ROW()-8,"000"),"")</f>
        <v/>
      </c>
      <c r="B173" s="13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</row>
    <row r="174">
      <c r="A174" s="10">
        <f>IF(B174&lt;&gt;"","INC-2026-"&amp;TEXT(ROW()-8,"000"),"")</f>
        <v/>
      </c>
      <c r="B174" s="13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10">
        <f>IF(B175&lt;&gt;"","INC-2026-"&amp;TEXT(ROW()-8,"000"),"")</f>
        <v/>
      </c>
      <c r="B175" s="13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</row>
    <row r="176">
      <c r="A176" s="10">
        <f>IF(B176&lt;&gt;"","INC-2026-"&amp;TEXT(ROW()-8,"000"),"")</f>
        <v/>
      </c>
      <c r="B176" s="13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10">
        <f>IF(B177&lt;&gt;"","INC-2026-"&amp;TEXT(ROW()-8,"000"),"")</f>
        <v/>
      </c>
      <c r="B177" s="13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</row>
    <row r="178">
      <c r="A178" s="10">
        <f>IF(B178&lt;&gt;"","INC-2026-"&amp;TEXT(ROW()-8,"000"),"")</f>
        <v/>
      </c>
      <c r="B178" s="13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10">
        <f>IF(B179&lt;&gt;"","INC-2026-"&amp;TEXT(ROW()-8,"000"),"")</f>
        <v/>
      </c>
      <c r="B179" s="13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</row>
    <row r="180">
      <c r="A180" s="10">
        <f>IF(B180&lt;&gt;"","INC-2026-"&amp;TEXT(ROW()-8,"000"),"")</f>
        <v/>
      </c>
      <c r="B180" s="13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10">
        <f>IF(B181&lt;&gt;"","INC-2026-"&amp;TEXT(ROW()-8,"000"),"")</f>
        <v/>
      </c>
      <c r="B181" s="13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</row>
    <row r="182">
      <c r="A182" s="10">
        <f>IF(B182&lt;&gt;"","INC-2026-"&amp;TEXT(ROW()-8,"000"),"")</f>
        <v/>
      </c>
      <c r="B182" s="13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10">
        <f>IF(B183&lt;&gt;"","INC-2026-"&amp;TEXT(ROW()-8,"000"),"")</f>
        <v/>
      </c>
      <c r="B183" s="13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</row>
    <row r="184">
      <c r="A184" s="10">
        <f>IF(B184&lt;&gt;"","INC-2026-"&amp;TEXT(ROW()-8,"000"),"")</f>
        <v/>
      </c>
      <c r="B184" s="13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10">
        <f>IF(B185&lt;&gt;"","INC-2026-"&amp;TEXT(ROW()-8,"000"),"")</f>
        <v/>
      </c>
      <c r="B185" s="13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</row>
    <row r="186">
      <c r="A186" s="10">
        <f>IF(B186&lt;&gt;"","INC-2026-"&amp;TEXT(ROW()-8,"000"),"")</f>
        <v/>
      </c>
      <c r="B186" s="13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10">
        <f>IF(B187&lt;&gt;"","INC-2026-"&amp;TEXT(ROW()-8,"000"),"")</f>
        <v/>
      </c>
      <c r="B187" s="13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</row>
    <row r="188">
      <c r="A188" s="10">
        <f>IF(B188&lt;&gt;"","INC-2026-"&amp;TEXT(ROW()-8,"000"),"")</f>
        <v/>
      </c>
      <c r="B188" s="13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10">
        <f>IF(B189&lt;&gt;"","INC-2026-"&amp;TEXT(ROW()-8,"000"),"")</f>
        <v/>
      </c>
      <c r="B189" s="13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</row>
    <row r="190">
      <c r="A190" s="10">
        <f>IF(B190&lt;&gt;"","INC-2026-"&amp;TEXT(ROW()-8,"000"),"")</f>
        <v/>
      </c>
      <c r="B190" s="13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10">
        <f>IF(B191&lt;&gt;"","INC-2026-"&amp;TEXT(ROW()-8,"000"),"")</f>
        <v/>
      </c>
      <c r="B191" s="13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</row>
    <row r="192">
      <c r="A192" s="10">
        <f>IF(B192&lt;&gt;"","INC-2026-"&amp;TEXT(ROW()-8,"000"),"")</f>
        <v/>
      </c>
      <c r="B192" s="13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10">
        <f>IF(B193&lt;&gt;"","INC-2026-"&amp;TEXT(ROW()-8,"000"),"")</f>
        <v/>
      </c>
      <c r="B193" s="13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</row>
    <row r="194">
      <c r="A194" s="10">
        <f>IF(B194&lt;&gt;"","INC-2026-"&amp;TEXT(ROW()-8,"000"),"")</f>
        <v/>
      </c>
      <c r="B194" s="13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10">
        <f>IF(B195&lt;&gt;"","INC-2026-"&amp;TEXT(ROW()-8,"000"),"")</f>
        <v/>
      </c>
      <c r="B195" s="13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</row>
    <row r="196">
      <c r="A196" s="10">
        <f>IF(B196&lt;&gt;"","INC-2026-"&amp;TEXT(ROW()-8,"000"),"")</f>
        <v/>
      </c>
      <c r="B196" s="13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10">
        <f>IF(B197&lt;&gt;"","INC-2026-"&amp;TEXT(ROW()-8,"000"),"")</f>
        <v/>
      </c>
      <c r="B197" s="13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</row>
    <row r="198">
      <c r="A198" s="10">
        <f>IF(B198&lt;&gt;"","INC-2026-"&amp;TEXT(ROW()-8,"000"),"")</f>
        <v/>
      </c>
      <c r="B198" s="13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10">
        <f>IF(B199&lt;&gt;"","INC-2026-"&amp;TEXT(ROW()-8,"000"),"")</f>
        <v/>
      </c>
      <c r="B199" s="13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</row>
    <row r="200">
      <c r="A200" s="10">
        <f>IF(B200&lt;&gt;"","INC-2026-"&amp;TEXT(ROW()-8,"000"),"")</f>
        <v/>
      </c>
      <c r="B200" s="13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</sheetData>
  <mergeCells count="2">
    <mergeCell ref="A2:M2"/>
    <mergeCell ref="A1:M1"/>
  </mergeCells>
  <dataValidations count="3">
    <dataValidation sqref="D9:D200" showDropDown="0" showInputMessage="0" showErrorMessage="0" allowBlank="1" type="list">
      <formula1>"🔴 Critical,🟡 High,🟢 Medium,⚫ Low"</formula1>
    </dataValidation>
    <dataValidation sqref="E9:E200" showDropDown="0" showInputMessage="0" showErrorMessage="0" allowBlank="1" type="list">
      <formula1>"Malware,Brute Force Attack,Unauthorized Access,Data Exfiltration,DDoS,Phishing,Insider Threat,Configuration Error,Other"</formula1>
    </dataValidation>
    <dataValidation sqref="F9:F200" showDropDown="0" showInputMessage="0" showErrorMessage="0" allowBlank="1" type="list">
      <formula1>"New,Investigating,Contained,Resolved,False Positive"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15" customWidth="1" min="4" max="4"/>
    <col width="40" customWidth="1" min="5" max="5"/>
    <col width="20" customWidth="1" min="6" max="6"/>
    <col width="18" customWidth="1" min="7" max="7"/>
    <col width="18" customWidth="1" min="8" max="8"/>
    <col width="18" customWidth="1" min="9" max="9"/>
    <col width="15" customWidth="1" min="10" max="10"/>
    <col width="15" customWidth="1" min="11" max="11"/>
    <col width="40" customWidth="1" min="12" max="12"/>
  </cols>
  <sheetData>
    <row r="1" ht="40" customHeight="1">
      <c r="A1" s="1" t="inlineStr">
        <is>
          <t>ANALYSIS TOOLS &amp; CAPABILITIES</t>
        </is>
      </c>
    </row>
    <row r="2" ht="30" customHeight="1">
      <c r="A2" s="6" t="inlineStr">
        <is>
          <t>Document available analysis tools and capabilities per ISMS-POL-A.8.15-S2.4.2</t>
        </is>
      </c>
    </row>
    <row r="7" ht="35" customHeight="1">
      <c r="A7" s="8" t="inlineStr">
        <is>
          <t>Tool / Capability</t>
        </is>
      </c>
      <c r="B7" s="8" t="inlineStr">
        <is>
          <t>Category</t>
        </is>
      </c>
      <c r="C7" s="8" t="inlineStr">
        <is>
          <t>Vendor / Product</t>
        </is>
      </c>
      <c r="D7" s="8" t="inlineStr">
        <is>
          <t>Version</t>
        </is>
      </c>
      <c r="E7" s="8" t="inlineStr">
        <is>
          <t>Purpose</t>
        </is>
      </c>
      <c r="F7" s="8" t="inlineStr">
        <is>
          <t>Users Trained</t>
        </is>
      </c>
      <c r="G7" s="8" t="inlineStr">
        <is>
          <t>Usage Frequency</t>
        </is>
      </c>
      <c r="H7" s="8" t="inlineStr">
        <is>
          <t>Effectiveness</t>
        </is>
      </c>
      <c r="I7" s="8" t="inlineStr">
        <is>
          <t>Integration with SIEM</t>
        </is>
      </c>
      <c r="J7" s="8" t="inlineStr">
        <is>
          <t>Last Updated</t>
        </is>
      </c>
      <c r="K7" s="8" t="inlineStr">
        <is>
          <t>Status</t>
        </is>
      </c>
      <c r="L7" s="8" t="inlineStr">
        <is>
          <t>Notes</t>
        </is>
      </c>
    </row>
    <row r="8">
      <c r="A8" s="9" t="inlineStr">
        <is>
          <t>Splunk SIEM</t>
        </is>
      </c>
      <c r="B8" s="9" t="inlineStr">
        <is>
          <t>SIEM Platform</t>
        </is>
      </c>
      <c r="C8" s="9" t="inlineStr">
        <is>
          <t>Splunk Enterprise</t>
        </is>
      </c>
      <c r="D8" s="9" t="inlineStr">
        <is>
          <t>9.1.3</t>
        </is>
      </c>
      <c r="E8" s="9" t="inlineStr">
        <is>
          <t>Centralized log aggregation and analysis</t>
        </is>
      </c>
      <c r="F8" s="9" t="inlineStr">
        <is>
          <t>15</t>
        </is>
      </c>
      <c r="G8" s="9" t="inlineStr">
        <is>
          <t>Daily</t>
        </is>
      </c>
      <c r="H8" s="9" t="inlineStr">
        <is>
          <t>High</t>
        </is>
      </c>
      <c r="I8" s="9" t="inlineStr">
        <is>
          <t>Native</t>
        </is>
      </c>
      <c r="J8" s="9" t="inlineStr">
        <is>
          <t>01.12.2025</t>
        </is>
      </c>
      <c r="K8" s="9" t="inlineStr">
        <is>
          <t>Production</t>
        </is>
      </c>
      <c r="L8" s="9" t="inlineStr">
        <is>
          <t>Primary SIEM</t>
        </is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4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4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4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4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4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4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4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4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4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4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4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4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4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4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4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4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4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4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4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4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4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4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4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4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4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4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4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4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4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4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4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4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4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4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4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4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4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4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4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4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4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4" t="n"/>
      <c r="K50" s="5" t="n"/>
      <c r="L50" s="5" t="n"/>
    </row>
  </sheetData>
  <mergeCells count="2">
    <mergeCell ref="A2:L2"/>
    <mergeCell ref="A1:L1"/>
  </mergeCells>
  <dataValidations count="5">
    <dataValidation sqref="B9:B50" showDropDown="0" showInputMessage="0" showErrorMessage="0" allowBlank="1" type="list">
      <formula1>"SIEM Platform,Log Analysis,Threat Intelligence,Forensics,Visualization,Automation,Other"</formula1>
    </dataValidation>
    <dataValidation sqref="G9:G50" showDropDown="0" showInputMessage="0" showErrorMessage="0" allowBlank="1" type="list">
      <formula1>"Daily,Weekly,Monthly,As Needed,Rarely"</formula1>
    </dataValidation>
    <dataValidation sqref="H9:H50" showDropDown="0" showInputMessage="0" showErrorMessage="0" allowBlank="1" type="list">
      <formula1>"High,Medium,Low,Unknown"</formula1>
    </dataValidation>
    <dataValidation sqref="I9:I50" showDropDown="0" showInputMessage="0" showErrorMessage="0" allowBlank="1" type="list">
      <formula1>"Native,API,Manual Export,No Integration"</formula1>
    </dataValidation>
    <dataValidation sqref="K9:K50" showDropDown="0" showInputMessage="0" showErrorMessage="0" allowBlank="1" type="list">
      <formula1>"Production,Testing,Deprecated,Planned"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25" customWidth="1" min="4" max="4"/>
    <col width="50" customWidth="1" min="5" max="5"/>
    <col width="15" customWidth="1" min="6" max="6"/>
    <col width="20" customWidth="1" min="7" max="7"/>
    <col width="40" customWidth="1" min="8" max="8"/>
    <col width="25" customWidth="1" min="9" max="9"/>
    <col width="15" customWidth="1" min="10" max="10"/>
    <col width="15" customWidth="1" min="11" max="11"/>
    <col width="40" customWidth="1" min="12" max="12"/>
  </cols>
  <sheetData>
    <row r="1" ht="40" customHeight="1">
      <c r="A1" s="1" t="inlineStr">
        <is>
          <t>REVIEW FINDINGS</t>
        </is>
      </c>
    </row>
    <row r="2" ht="30" customHeight="1">
      <c r="A2" s="6" t="inlineStr">
        <is>
          <t>Document findings from log reviews and analysis</t>
        </is>
      </c>
    </row>
    <row r="7" ht="35" customHeight="1">
      <c r="A7" s="8" t="inlineStr">
        <is>
          <t>Finding ID</t>
        </is>
      </c>
      <c r="B7" s="8" t="inlineStr">
        <is>
          <t>Review Date</t>
        </is>
      </c>
      <c r="C7" s="8" t="inlineStr">
        <is>
          <t>Review Type</t>
        </is>
      </c>
      <c r="D7" s="8" t="inlineStr">
        <is>
          <t>Log Source</t>
        </is>
      </c>
      <c r="E7" s="8" t="inlineStr">
        <is>
          <t>Finding Description</t>
        </is>
      </c>
      <c r="F7" s="8" t="inlineStr">
        <is>
          <t>Severity</t>
        </is>
      </c>
      <c r="G7" s="8" t="inlineStr">
        <is>
          <t>Category</t>
        </is>
      </c>
      <c r="H7" s="8" t="inlineStr">
        <is>
          <t>Action Required</t>
        </is>
      </c>
      <c r="I7" s="8" t="inlineStr">
        <is>
          <t>Assigned To</t>
        </is>
      </c>
      <c r="J7" s="8" t="inlineStr">
        <is>
          <t>Due Date</t>
        </is>
      </c>
      <c r="K7" s="8" t="inlineStr">
        <is>
          <t>Status</t>
        </is>
      </c>
      <c r="L7" s="8" t="inlineStr">
        <is>
          <t>Notes</t>
        </is>
      </c>
    </row>
    <row r="8">
      <c r="A8" s="9" t="inlineStr">
        <is>
          <t>FND-001</t>
        </is>
      </c>
      <c r="B8" s="9" t="inlineStr">
        <is>
          <t>05.01.2026</t>
        </is>
      </c>
      <c r="C8" s="9" t="inlineStr">
        <is>
          <t>Security Event Review</t>
        </is>
      </c>
      <c r="D8" s="9" t="inlineStr">
        <is>
          <t>Firewall logs</t>
        </is>
      </c>
      <c r="E8" s="9" t="inlineStr">
        <is>
          <t>Multiple port scan attempts from same source</t>
        </is>
      </c>
      <c r="F8" s="9" t="inlineStr">
        <is>
          <t>Medium</t>
        </is>
      </c>
      <c r="G8" s="9" t="inlineStr">
        <is>
          <t>Reconnaissance</t>
        </is>
      </c>
      <c r="H8" s="9" t="inlineStr">
        <is>
          <t>Block source IP, investigate if internal</t>
        </is>
      </c>
      <c r="I8" s="9" t="inlineStr">
        <is>
          <t>SOC Team</t>
        </is>
      </c>
      <c r="J8" s="9" t="inlineStr">
        <is>
          <t>10.01.2026</t>
        </is>
      </c>
      <c r="K8" s="9" t="inlineStr">
        <is>
          <t>In Progress</t>
        </is>
      </c>
      <c r="L8" s="9" t="inlineStr">
        <is>
          <t>Source appears to be compromised external host</t>
        </is>
      </c>
    </row>
    <row r="9">
      <c r="A9" s="10">
        <f>IF(B9&lt;&gt;"","FND-"&amp;TEXT(ROW()-8,"000"),"")</f>
        <v/>
      </c>
      <c r="B9" s="4" t="n"/>
      <c r="C9" s="5" t="n"/>
      <c r="D9" s="5" t="n"/>
      <c r="E9" s="5" t="n"/>
      <c r="F9" s="5" t="n"/>
      <c r="G9" s="5" t="n"/>
      <c r="H9" s="5" t="n"/>
      <c r="I9" s="5" t="n"/>
      <c r="J9" s="4" t="n"/>
      <c r="K9" s="5" t="n"/>
      <c r="L9" s="5" t="n"/>
    </row>
    <row r="10">
      <c r="A10" s="10">
        <f>IF(B10&lt;&gt;"","FND-"&amp;TEXT(ROW()-8,"000"),"")</f>
        <v/>
      </c>
      <c r="B10" s="4" t="n"/>
      <c r="C10" s="5" t="n"/>
      <c r="D10" s="5" t="n"/>
      <c r="E10" s="5" t="n"/>
      <c r="F10" s="5" t="n"/>
      <c r="G10" s="5" t="n"/>
      <c r="H10" s="5" t="n"/>
      <c r="I10" s="5" t="n"/>
      <c r="J10" s="4" t="n"/>
      <c r="K10" s="5" t="n"/>
      <c r="L10" s="5" t="n"/>
    </row>
    <row r="11">
      <c r="A11" s="10">
        <f>IF(B11&lt;&gt;"","FND-"&amp;TEXT(ROW()-8,"000"),"")</f>
        <v/>
      </c>
      <c r="B11" s="4" t="n"/>
      <c r="C11" s="5" t="n"/>
      <c r="D11" s="5" t="n"/>
      <c r="E11" s="5" t="n"/>
      <c r="F11" s="5" t="n"/>
      <c r="G11" s="5" t="n"/>
      <c r="H11" s="5" t="n"/>
      <c r="I11" s="5" t="n"/>
      <c r="J11" s="4" t="n"/>
      <c r="K11" s="5" t="n"/>
      <c r="L11" s="5" t="n"/>
    </row>
    <row r="12">
      <c r="A12" s="10">
        <f>IF(B12&lt;&gt;"","FND-"&amp;TEXT(ROW()-8,"000"),"")</f>
        <v/>
      </c>
      <c r="B12" s="4" t="n"/>
      <c r="C12" s="5" t="n"/>
      <c r="D12" s="5" t="n"/>
      <c r="E12" s="5" t="n"/>
      <c r="F12" s="5" t="n"/>
      <c r="G12" s="5" t="n"/>
      <c r="H12" s="5" t="n"/>
      <c r="I12" s="5" t="n"/>
      <c r="J12" s="4" t="n"/>
      <c r="K12" s="5" t="n"/>
      <c r="L12" s="5" t="n"/>
    </row>
    <row r="13">
      <c r="A13" s="10">
        <f>IF(B13&lt;&gt;"","FND-"&amp;TEXT(ROW()-8,"000"),"")</f>
        <v/>
      </c>
      <c r="B13" s="4" t="n"/>
      <c r="C13" s="5" t="n"/>
      <c r="D13" s="5" t="n"/>
      <c r="E13" s="5" t="n"/>
      <c r="F13" s="5" t="n"/>
      <c r="G13" s="5" t="n"/>
      <c r="H13" s="5" t="n"/>
      <c r="I13" s="5" t="n"/>
      <c r="J13" s="4" t="n"/>
      <c r="K13" s="5" t="n"/>
      <c r="L13" s="5" t="n"/>
    </row>
    <row r="14">
      <c r="A14" s="10">
        <f>IF(B14&lt;&gt;"","FND-"&amp;TEXT(ROW()-8,"000"),"")</f>
        <v/>
      </c>
      <c r="B14" s="4" t="n"/>
      <c r="C14" s="5" t="n"/>
      <c r="D14" s="5" t="n"/>
      <c r="E14" s="5" t="n"/>
      <c r="F14" s="5" t="n"/>
      <c r="G14" s="5" t="n"/>
      <c r="H14" s="5" t="n"/>
      <c r="I14" s="5" t="n"/>
      <c r="J14" s="4" t="n"/>
      <c r="K14" s="5" t="n"/>
      <c r="L14" s="5" t="n"/>
    </row>
    <row r="15">
      <c r="A15" s="10">
        <f>IF(B15&lt;&gt;"","FND-"&amp;TEXT(ROW()-8,"000"),"")</f>
        <v/>
      </c>
      <c r="B15" s="4" t="n"/>
      <c r="C15" s="5" t="n"/>
      <c r="D15" s="5" t="n"/>
      <c r="E15" s="5" t="n"/>
      <c r="F15" s="5" t="n"/>
      <c r="G15" s="5" t="n"/>
      <c r="H15" s="5" t="n"/>
      <c r="I15" s="5" t="n"/>
      <c r="J15" s="4" t="n"/>
      <c r="K15" s="5" t="n"/>
      <c r="L15" s="5" t="n"/>
    </row>
    <row r="16">
      <c r="A16" s="10">
        <f>IF(B16&lt;&gt;"","FND-"&amp;TEXT(ROW()-8,"000"),"")</f>
        <v/>
      </c>
      <c r="B16" s="4" t="n"/>
      <c r="C16" s="5" t="n"/>
      <c r="D16" s="5" t="n"/>
      <c r="E16" s="5" t="n"/>
      <c r="F16" s="5" t="n"/>
      <c r="G16" s="5" t="n"/>
      <c r="H16" s="5" t="n"/>
      <c r="I16" s="5" t="n"/>
      <c r="J16" s="4" t="n"/>
      <c r="K16" s="5" t="n"/>
      <c r="L16" s="5" t="n"/>
    </row>
    <row r="17">
      <c r="A17" s="10">
        <f>IF(B17&lt;&gt;"","FND-"&amp;TEXT(ROW()-8,"000"),"")</f>
        <v/>
      </c>
      <c r="B17" s="4" t="n"/>
      <c r="C17" s="5" t="n"/>
      <c r="D17" s="5" t="n"/>
      <c r="E17" s="5" t="n"/>
      <c r="F17" s="5" t="n"/>
      <c r="G17" s="5" t="n"/>
      <c r="H17" s="5" t="n"/>
      <c r="I17" s="5" t="n"/>
      <c r="J17" s="4" t="n"/>
      <c r="K17" s="5" t="n"/>
      <c r="L17" s="5" t="n"/>
    </row>
    <row r="18">
      <c r="A18" s="10">
        <f>IF(B18&lt;&gt;"","FND-"&amp;TEXT(ROW()-8,"000"),"")</f>
        <v/>
      </c>
      <c r="B18" s="4" t="n"/>
      <c r="C18" s="5" t="n"/>
      <c r="D18" s="5" t="n"/>
      <c r="E18" s="5" t="n"/>
      <c r="F18" s="5" t="n"/>
      <c r="G18" s="5" t="n"/>
      <c r="H18" s="5" t="n"/>
      <c r="I18" s="5" t="n"/>
      <c r="J18" s="4" t="n"/>
      <c r="K18" s="5" t="n"/>
      <c r="L18" s="5" t="n"/>
    </row>
    <row r="19">
      <c r="A19" s="10">
        <f>IF(B19&lt;&gt;"","FND-"&amp;TEXT(ROW()-8,"000"),"")</f>
        <v/>
      </c>
      <c r="B19" s="4" t="n"/>
      <c r="C19" s="5" t="n"/>
      <c r="D19" s="5" t="n"/>
      <c r="E19" s="5" t="n"/>
      <c r="F19" s="5" t="n"/>
      <c r="G19" s="5" t="n"/>
      <c r="H19" s="5" t="n"/>
      <c r="I19" s="5" t="n"/>
      <c r="J19" s="4" t="n"/>
      <c r="K19" s="5" t="n"/>
      <c r="L19" s="5" t="n"/>
    </row>
    <row r="20">
      <c r="A20" s="10">
        <f>IF(B20&lt;&gt;"","FND-"&amp;TEXT(ROW()-8,"000"),"")</f>
        <v/>
      </c>
      <c r="B20" s="4" t="n"/>
      <c r="C20" s="5" t="n"/>
      <c r="D20" s="5" t="n"/>
      <c r="E20" s="5" t="n"/>
      <c r="F20" s="5" t="n"/>
      <c r="G20" s="5" t="n"/>
      <c r="H20" s="5" t="n"/>
      <c r="I20" s="5" t="n"/>
      <c r="J20" s="4" t="n"/>
      <c r="K20" s="5" t="n"/>
      <c r="L20" s="5" t="n"/>
    </row>
    <row r="21">
      <c r="A21" s="10">
        <f>IF(B21&lt;&gt;"","FND-"&amp;TEXT(ROW()-8,"000"),"")</f>
        <v/>
      </c>
      <c r="B21" s="4" t="n"/>
      <c r="C21" s="5" t="n"/>
      <c r="D21" s="5" t="n"/>
      <c r="E21" s="5" t="n"/>
      <c r="F21" s="5" t="n"/>
      <c r="G21" s="5" t="n"/>
      <c r="H21" s="5" t="n"/>
      <c r="I21" s="5" t="n"/>
      <c r="J21" s="4" t="n"/>
      <c r="K21" s="5" t="n"/>
      <c r="L21" s="5" t="n"/>
    </row>
    <row r="22">
      <c r="A22" s="10">
        <f>IF(B22&lt;&gt;"","FND-"&amp;TEXT(ROW()-8,"000"),"")</f>
        <v/>
      </c>
      <c r="B22" s="4" t="n"/>
      <c r="C22" s="5" t="n"/>
      <c r="D22" s="5" t="n"/>
      <c r="E22" s="5" t="n"/>
      <c r="F22" s="5" t="n"/>
      <c r="G22" s="5" t="n"/>
      <c r="H22" s="5" t="n"/>
      <c r="I22" s="5" t="n"/>
      <c r="J22" s="4" t="n"/>
      <c r="K22" s="5" t="n"/>
      <c r="L22" s="5" t="n"/>
    </row>
    <row r="23">
      <c r="A23" s="10">
        <f>IF(B23&lt;&gt;"","FND-"&amp;TEXT(ROW()-8,"000"),"")</f>
        <v/>
      </c>
      <c r="B23" s="4" t="n"/>
      <c r="C23" s="5" t="n"/>
      <c r="D23" s="5" t="n"/>
      <c r="E23" s="5" t="n"/>
      <c r="F23" s="5" t="n"/>
      <c r="G23" s="5" t="n"/>
      <c r="H23" s="5" t="n"/>
      <c r="I23" s="5" t="n"/>
      <c r="J23" s="4" t="n"/>
      <c r="K23" s="5" t="n"/>
      <c r="L23" s="5" t="n"/>
    </row>
    <row r="24">
      <c r="A24" s="10">
        <f>IF(B24&lt;&gt;"","FND-"&amp;TEXT(ROW()-8,"000"),"")</f>
        <v/>
      </c>
      <c r="B24" s="4" t="n"/>
      <c r="C24" s="5" t="n"/>
      <c r="D24" s="5" t="n"/>
      <c r="E24" s="5" t="n"/>
      <c r="F24" s="5" t="n"/>
      <c r="G24" s="5" t="n"/>
      <c r="H24" s="5" t="n"/>
      <c r="I24" s="5" t="n"/>
      <c r="J24" s="4" t="n"/>
      <c r="K24" s="5" t="n"/>
      <c r="L24" s="5" t="n"/>
    </row>
    <row r="25">
      <c r="A25" s="10">
        <f>IF(B25&lt;&gt;"","FND-"&amp;TEXT(ROW()-8,"000"),"")</f>
        <v/>
      </c>
      <c r="B25" s="4" t="n"/>
      <c r="C25" s="5" t="n"/>
      <c r="D25" s="5" t="n"/>
      <c r="E25" s="5" t="n"/>
      <c r="F25" s="5" t="n"/>
      <c r="G25" s="5" t="n"/>
      <c r="H25" s="5" t="n"/>
      <c r="I25" s="5" t="n"/>
      <c r="J25" s="4" t="n"/>
      <c r="K25" s="5" t="n"/>
      <c r="L25" s="5" t="n"/>
    </row>
    <row r="26">
      <c r="A26" s="10">
        <f>IF(B26&lt;&gt;"","FND-"&amp;TEXT(ROW()-8,"000"),"")</f>
        <v/>
      </c>
      <c r="B26" s="4" t="n"/>
      <c r="C26" s="5" t="n"/>
      <c r="D26" s="5" t="n"/>
      <c r="E26" s="5" t="n"/>
      <c r="F26" s="5" t="n"/>
      <c r="G26" s="5" t="n"/>
      <c r="H26" s="5" t="n"/>
      <c r="I26" s="5" t="n"/>
      <c r="J26" s="4" t="n"/>
      <c r="K26" s="5" t="n"/>
      <c r="L26" s="5" t="n"/>
    </row>
    <row r="27">
      <c r="A27" s="10">
        <f>IF(B27&lt;&gt;"","FND-"&amp;TEXT(ROW()-8,"000"),"")</f>
        <v/>
      </c>
      <c r="B27" s="4" t="n"/>
      <c r="C27" s="5" t="n"/>
      <c r="D27" s="5" t="n"/>
      <c r="E27" s="5" t="n"/>
      <c r="F27" s="5" t="n"/>
      <c r="G27" s="5" t="n"/>
      <c r="H27" s="5" t="n"/>
      <c r="I27" s="5" t="n"/>
      <c r="J27" s="4" t="n"/>
      <c r="K27" s="5" t="n"/>
      <c r="L27" s="5" t="n"/>
    </row>
    <row r="28">
      <c r="A28" s="10">
        <f>IF(B28&lt;&gt;"","FND-"&amp;TEXT(ROW()-8,"000"),"")</f>
        <v/>
      </c>
      <c r="B28" s="4" t="n"/>
      <c r="C28" s="5" t="n"/>
      <c r="D28" s="5" t="n"/>
      <c r="E28" s="5" t="n"/>
      <c r="F28" s="5" t="n"/>
      <c r="G28" s="5" t="n"/>
      <c r="H28" s="5" t="n"/>
      <c r="I28" s="5" t="n"/>
      <c r="J28" s="4" t="n"/>
      <c r="K28" s="5" t="n"/>
      <c r="L28" s="5" t="n"/>
    </row>
    <row r="29">
      <c r="A29" s="10">
        <f>IF(B29&lt;&gt;"","FND-"&amp;TEXT(ROW()-8,"000"),"")</f>
        <v/>
      </c>
      <c r="B29" s="4" t="n"/>
      <c r="C29" s="5" t="n"/>
      <c r="D29" s="5" t="n"/>
      <c r="E29" s="5" t="n"/>
      <c r="F29" s="5" t="n"/>
      <c r="G29" s="5" t="n"/>
      <c r="H29" s="5" t="n"/>
      <c r="I29" s="5" t="n"/>
      <c r="J29" s="4" t="n"/>
      <c r="K29" s="5" t="n"/>
      <c r="L29" s="5" t="n"/>
    </row>
    <row r="30">
      <c r="A30" s="10">
        <f>IF(B30&lt;&gt;"","FND-"&amp;TEXT(ROW()-8,"000"),"")</f>
        <v/>
      </c>
      <c r="B30" s="4" t="n"/>
      <c r="C30" s="5" t="n"/>
      <c r="D30" s="5" t="n"/>
      <c r="E30" s="5" t="n"/>
      <c r="F30" s="5" t="n"/>
      <c r="G30" s="5" t="n"/>
      <c r="H30" s="5" t="n"/>
      <c r="I30" s="5" t="n"/>
      <c r="J30" s="4" t="n"/>
      <c r="K30" s="5" t="n"/>
      <c r="L30" s="5" t="n"/>
    </row>
    <row r="31">
      <c r="A31" s="10">
        <f>IF(B31&lt;&gt;"","FND-"&amp;TEXT(ROW()-8,"000"),"")</f>
        <v/>
      </c>
      <c r="B31" s="4" t="n"/>
      <c r="C31" s="5" t="n"/>
      <c r="D31" s="5" t="n"/>
      <c r="E31" s="5" t="n"/>
      <c r="F31" s="5" t="n"/>
      <c r="G31" s="5" t="n"/>
      <c r="H31" s="5" t="n"/>
      <c r="I31" s="5" t="n"/>
      <c r="J31" s="4" t="n"/>
      <c r="K31" s="5" t="n"/>
      <c r="L31" s="5" t="n"/>
    </row>
    <row r="32">
      <c r="A32" s="10">
        <f>IF(B32&lt;&gt;"","FND-"&amp;TEXT(ROW()-8,"000"),"")</f>
        <v/>
      </c>
      <c r="B32" s="4" t="n"/>
      <c r="C32" s="5" t="n"/>
      <c r="D32" s="5" t="n"/>
      <c r="E32" s="5" t="n"/>
      <c r="F32" s="5" t="n"/>
      <c r="G32" s="5" t="n"/>
      <c r="H32" s="5" t="n"/>
      <c r="I32" s="5" t="n"/>
      <c r="J32" s="4" t="n"/>
      <c r="K32" s="5" t="n"/>
      <c r="L32" s="5" t="n"/>
    </row>
    <row r="33">
      <c r="A33" s="10">
        <f>IF(B33&lt;&gt;"","FND-"&amp;TEXT(ROW()-8,"000"),"")</f>
        <v/>
      </c>
      <c r="B33" s="4" t="n"/>
      <c r="C33" s="5" t="n"/>
      <c r="D33" s="5" t="n"/>
      <c r="E33" s="5" t="n"/>
      <c r="F33" s="5" t="n"/>
      <c r="G33" s="5" t="n"/>
      <c r="H33" s="5" t="n"/>
      <c r="I33" s="5" t="n"/>
      <c r="J33" s="4" t="n"/>
      <c r="K33" s="5" t="n"/>
      <c r="L33" s="5" t="n"/>
    </row>
    <row r="34">
      <c r="A34" s="10">
        <f>IF(B34&lt;&gt;"","FND-"&amp;TEXT(ROW()-8,"000"),"")</f>
        <v/>
      </c>
      <c r="B34" s="4" t="n"/>
      <c r="C34" s="5" t="n"/>
      <c r="D34" s="5" t="n"/>
      <c r="E34" s="5" t="n"/>
      <c r="F34" s="5" t="n"/>
      <c r="G34" s="5" t="n"/>
      <c r="H34" s="5" t="n"/>
      <c r="I34" s="5" t="n"/>
      <c r="J34" s="4" t="n"/>
      <c r="K34" s="5" t="n"/>
      <c r="L34" s="5" t="n"/>
    </row>
    <row r="35">
      <c r="A35" s="10">
        <f>IF(B35&lt;&gt;"","FND-"&amp;TEXT(ROW()-8,"000"),"")</f>
        <v/>
      </c>
      <c r="B35" s="4" t="n"/>
      <c r="C35" s="5" t="n"/>
      <c r="D35" s="5" t="n"/>
      <c r="E35" s="5" t="n"/>
      <c r="F35" s="5" t="n"/>
      <c r="G35" s="5" t="n"/>
      <c r="H35" s="5" t="n"/>
      <c r="I35" s="5" t="n"/>
      <c r="J35" s="4" t="n"/>
      <c r="K35" s="5" t="n"/>
      <c r="L35" s="5" t="n"/>
    </row>
    <row r="36">
      <c r="A36" s="10">
        <f>IF(B36&lt;&gt;"","FND-"&amp;TEXT(ROW()-8,"000"),"")</f>
        <v/>
      </c>
      <c r="B36" s="4" t="n"/>
      <c r="C36" s="5" t="n"/>
      <c r="D36" s="5" t="n"/>
      <c r="E36" s="5" t="n"/>
      <c r="F36" s="5" t="n"/>
      <c r="G36" s="5" t="n"/>
      <c r="H36" s="5" t="n"/>
      <c r="I36" s="5" t="n"/>
      <c r="J36" s="4" t="n"/>
      <c r="K36" s="5" t="n"/>
      <c r="L36" s="5" t="n"/>
    </row>
    <row r="37">
      <c r="A37" s="10">
        <f>IF(B37&lt;&gt;"","FND-"&amp;TEXT(ROW()-8,"000"),"")</f>
        <v/>
      </c>
      <c r="B37" s="4" t="n"/>
      <c r="C37" s="5" t="n"/>
      <c r="D37" s="5" t="n"/>
      <c r="E37" s="5" t="n"/>
      <c r="F37" s="5" t="n"/>
      <c r="G37" s="5" t="n"/>
      <c r="H37" s="5" t="n"/>
      <c r="I37" s="5" t="n"/>
      <c r="J37" s="4" t="n"/>
      <c r="K37" s="5" t="n"/>
      <c r="L37" s="5" t="n"/>
    </row>
    <row r="38">
      <c r="A38" s="10">
        <f>IF(B38&lt;&gt;"","FND-"&amp;TEXT(ROW()-8,"000"),"")</f>
        <v/>
      </c>
      <c r="B38" s="4" t="n"/>
      <c r="C38" s="5" t="n"/>
      <c r="D38" s="5" t="n"/>
      <c r="E38" s="5" t="n"/>
      <c r="F38" s="5" t="n"/>
      <c r="G38" s="5" t="n"/>
      <c r="H38" s="5" t="n"/>
      <c r="I38" s="5" t="n"/>
      <c r="J38" s="4" t="n"/>
      <c r="K38" s="5" t="n"/>
      <c r="L38" s="5" t="n"/>
    </row>
    <row r="39">
      <c r="A39" s="10">
        <f>IF(B39&lt;&gt;"","FND-"&amp;TEXT(ROW()-8,"000"),"")</f>
        <v/>
      </c>
      <c r="B39" s="4" t="n"/>
      <c r="C39" s="5" t="n"/>
      <c r="D39" s="5" t="n"/>
      <c r="E39" s="5" t="n"/>
      <c r="F39" s="5" t="n"/>
      <c r="G39" s="5" t="n"/>
      <c r="H39" s="5" t="n"/>
      <c r="I39" s="5" t="n"/>
      <c r="J39" s="4" t="n"/>
      <c r="K39" s="5" t="n"/>
      <c r="L39" s="5" t="n"/>
    </row>
    <row r="40">
      <c r="A40" s="10">
        <f>IF(B40&lt;&gt;"","FND-"&amp;TEXT(ROW()-8,"000"),"")</f>
        <v/>
      </c>
      <c r="B40" s="4" t="n"/>
      <c r="C40" s="5" t="n"/>
      <c r="D40" s="5" t="n"/>
      <c r="E40" s="5" t="n"/>
      <c r="F40" s="5" t="n"/>
      <c r="G40" s="5" t="n"/>
      <c r="H40" s="5" t="n"/>
      <c r="I40" s="5" t="n"/>
      <c r="J40" s="4" t="n"/>
      <c r="K40" s="5" t="n"/>
      <c r="L40" s="5" t="n"/>
    </row>
    <row r="41">
      <c r="A41" s="10">
        <f>IF(B41&lt;&gt;"","FND-"&amp;TEXT(ROW()-8,"000"),"")</f>
        <v/>
      </c>
      <c r="B41" s="4" t="n"/>
      <c r="C41" s="5" t="n"/>
      <c r="D41" s="5" t="n"/>
      <c r="E41" s="5" t="n"/>
      <c r="F41" s="5" t="n"/>
      <c r="G41" s="5" t="n"/>
      <c r="H41" s="5" t="n"/>
      <c r="I41" s="5" t="n"/>
      <c r="J41" s="4" t="n"/>
      <c r="K41" s="5" t="n"/>
      <c r="L41" s="5" t="n"/>
    </row>
    <row r="42">
      <c r="A42" s="10">
        <f>IF(B42&lt;&gt;"","FND-"&amp;TEXT(ROW()-8,"000"),"")</f>
        <v/>
      </c>
      <c r="B42" s="4" t="n"/>
      <c r="C42" s="5" t="n"/>
      <c r="D42" s="5" t="n"/>
      <c r="E42" s="5" t="n"/>
      <c r="F42" s="5" t="n"/>
      <c r="G42" s="5" t="n"/>
      <c r="H42" s="5" t="n"/>
      <c r="I42" s="5" t="n"/>
      <c r="J42" s="4" t="n"/>
      <c r="K42" s="5" t="n"/>
      <c r="L42" s="5" t="n"/>
    </row>
    <row r="43">
      <c r="A43" s="10">
        <f>IF(B43&lt;&gt;"","FND-"&amp;TEXT(ROW()-8,"000"),"")</f>
        <v/>
      </c>
      <c r="B43" s="4" t="n"/>
      <c r="C43" s="5" t="n"/>
      <c r="D43" s="5" t="n"/>
      <c r="E43" s="5" t="n"/>
      <c r="F43" s="5" t="n"/>
      <c r="G43" s="5" t="n"/>
      <c r="H43" s="5" t="n"/>
      <c r="I43" s="5" t="n"/>
      <c r="J43" s="4" t="n"/>
      <c r="K43" s="5" t="n"/>
      <c r="L43" s="5" t="n"/>
    </row>
    <row r="44">
      <c r="A44" s="10">
        <f>IF(B44&lt;&gt;"","FND-"&amp;TEXT(ROW()-8,"000"),"")</f>
        <v/>
      </c>
      <c r="B44" s="4" t="n"/>
      <c r="C44" s="5" t="n"/>
      <c r="D44" s="5" t="n"/>
      <c r="E44" s="5" t="n"/>
      <c r="F44" s="5" t="n"/>
      <c r="G44" s="5" t="n"/>
      <c r="H44" s="5" t="n"/>
      <c r="I44" s="5" t="n"/>
      <c r="J44" s="4" t="n"/>
      <c r="K44" s="5" t="n"/>
      <c r="L44" s="5" t="n"/>
    </row>
    <row r="45">
      <c r="A45" s="10">
        <f>IF(B45&lt;&gt;"","FND-"&amp;TEXT(ROW()-8,"000"),"")</f>
        <v/>
      </c>
      <c r="B45" s="4" t="n"/>
      <c r="C45" s="5" t="n"/>
      <c r="D45" s="5" t="n"/>
      <c r="E45" s="5" t="n"/>
      <c r="F45" s="5" t="n"/>
      <c r="G45" s="5" t="n"/>
      <c r="H45" s="5" t="n"/>
      <c r="I45" s="5" t="n"/>
      <c r="J45" s="4" t="n"/>
      <c r="K45" s="5" t="n"/>
      <c r="L45" s="5" t="n"/>
    </row>
    <row r="46">
      <c r="A46" s="10">
        <f>IF(B46&lt;&gt;"","FND-"&amp;TEXT(ROW()-8,"000"),"")</f>
        <v/>
      </c>
      <c r="B46" s="4" t="n"/>
      <c r="C46" s="5" t="n"/>
      <c r="D46" s="5" t="n"/>
      <c r="E46" s="5" t="n"/>
      <c r="F46" s="5" t="n"/>
      <c r="G46" s="5" t="n"/>
      <c r="H46" s="5" t="n"/>
      <c r="I46" s="5" t="n"/>
      <c r="J46" s="4" t="n"/>
      <c r="K46" s="5" t="n"/>
      <c r="L46" s="5" t="n"/>
    </row>
    <row r="47">
      <c r="A47" s="10">
        <f>IF(B47&lt;&gt;"","FND-"&amp;TEXT(ROW()-8,"000"),"")</f>
        <v/>
      </c>
      <c r="B47" s="4" t="n"/>
      <c r="C47" s="5" t="n"/>
      <c r="D47" s="5" t="n"/>
      <c r="E47" s="5" t="n"/>
      <c r="F47" s="5" t="n"/>
      <c r="G47" s="5" t="n"/>
      <c r="H47" s="5" t="n"/>
      <c r="I47" s="5" t="n"/>
      <c r="J47" s="4" t="n"/>
      <c r="K47" s="5" t="n"/>
      <c r="L47" s="5" t="n"/>
    </row>
    <row r="48">
      <c r="A48" s="10">
        <f>IF(B48&lt;&gt;"","FND-"&amp;TEXT(ROW()-8,"000"),"")</f>
        <v/>
      </c>
      <c r="B48" s="4" t="n"/>
      <c r="C48" s="5" t="n"/>
      <c r="D48" s="5" t="n"/>
      <c r="E48" s="5" t="n"/>
      <c r="F48" s="5" t="n"/>
      <c r="G48" s="5" t="n"/>
      <c r="H48" s="5" t="n"/>
      <c r="I48" s="5" t="n"/>
      <c r="J48" s="4" t="n"/>
      <c r="K48" s="5" t="n"/>
      <c r="L48" s="5" t="n"/>
    </row>
    <row r="49">
      <c r="A49" s="10">
        <f>IF(B49&lt;&gt;"","FND-"&amp;TEXT(ROW()-8,"000"),"")</f>
        <v/>
      </c>
      <c r="B49" s="4" t="n"/>
      <c r="C49" s="5" t="n"/>
      <c r="D49" s="5" t="n"/>
      <c r="E49" s="5" t="n"/>
      <c r="F49" s="5" t="n"/>
      <c r="G49" s="5" t="n"/>
      <c r="H49" s="5" t="n"/>
      <c r="I49" s="5" t="n"/>
      <c r="J49" s="4" t="n"/>
      <c r="K49" s="5" t="n"/>
      <c r="L49" s="5" t="n"/>
    </row>
    <row r="50">
      <c r="A50" s="10">
        <f>IF(B50&lt;&gt;"","FND-"&amp;TEXT(ROW()-8,"000"),"")</f>
        <v/>
      </c>
      <c r="B50" s="4" t="n"/>
      <c r="C50" s="5" t="n"/>
      <c r="D50" s="5" t="n"/>
      <c r="E50" s="5" t="n"/>
      <c r="F50" s="5" t="n"/>
      <c r="G50" s="5" t="n"/>
      <c r="H50" s="5" t="n"/>
      <c r="I50" s="5" t="n"/>
      <c r="J50" s="4" t="n"/>
      <c r="K50" s="5" t="n"/>
      <c r="L50" s="5" t="n"/>
    </row>
    <row r="51">
      <c r="A51" s="10">
        <f>IF(B51&lt;&gt;"","FND-"&amp;TEXT(ROW()-8,"000"),"")</f>
        <v/>
      </c>
      <c r="B51" s="4" t="n"/>
      <c r="C51" s="5" t="n"/>
      <c r="D51" s="5" t="n"/>
      <c r="E51" s="5" t="n"/>
      <c r="F51" s="5" t="n"/>
      <c r="G51" s="5" t="n"/>
      <c r="H51" s="5" t="n"/>
      <c r="I51" s="5" t="n"/>
      <c r="J51" s="4" t="n"/>
      <c r="K51" s="5" t="n"/>
      <c r="L51" s="5" t="n"/>
    </row>
    <row r="52">
      <c r="A52" s="10">
        <f>IF(B52&lt;&gt;"","FND-"&amp;TEXT(ROW()-8,"000"),"")</f>
        <v/>
      </c>
      <c r="B52" s="4" t="n"/>
      <c r="C52" s="5" t="n"/>
      <c r="D52" s="5" t="n"/>
      <c r="E52" s="5" t="n"/>
      <c r="F52" s="5" t="n"/>
      <c r="G52" s="5" t="n"/>
      <c r="H52" s="5" t="n"/>
      <c r="I52" s="5" t="n"/>
      <c r="J52" s="4" t="n"/>
      <c r="K52" s="5" t="n"/>
      <c r="L52" s="5" t="n"/>
    </row>
    <row r="53">
      <c r="A53" s="10">
        <f>IF(B53&lt;&gt;"","FND-"&amp;TEXT(ROW()-8,"000"),"")</f>
        <v/>
      </c>
      <c r="B53" s="4" t="n"/>
      <c r="C53" s="5" t="n"/>
      <c r="D53" s="5" t="n"/>
      <c r="E53" s="5" t="n"/>
      <c r="F53" s="5" t="n"/>
      <c r="G53" s="5" t="n"/>
      <c r="H53" s="5" t="n"/>
      <c r="I53" s="5" t="n"/>
      <c r="J53" s="4" t="n"/>
      <c r="K53" s="5" t="n"/>
      <c r="L53" s="5" t="n"/>
    </row>
    <row r="54">
      <c r="A54" s="10">
        <f>IF(B54&lt;&gt;"","FND-"&amp;TEXT(ROW()-8,"000"),"")</f>
        <v/>
      </c>
      <c r="B54" s="4" t="n"/>
      <c r="C54" s="5" t="n"/>
      <c r="D54" s="5" t="n"/>
      <c r="E54" s="5" t="n"/>
      <c r="F54" s="5" t="n"/>
      <c r="G54" s="5" t="n"/>
      <c r="H54" s="5" t="n"/>
      <c r="I54" s="5" t="n"/>
      <c r="J54" s="4" t="n"/>
      <c r="K54" s="5" t="n"/>
      <c r="L54" s="5" t="n"/>
    </row>
    <row r="55">
      <c r="A55" s="10">
        <f>IF(B55&lt;&gt;"","FND-"&amp;TEXT(ROW()-8,"000"),"")</f>
        <v/>
      </c>
      <c r="B55" s="4" t="n"/>
      <c r="C55" s="5" t="n"/>
      <c r="D55" s="5" t="n"/>
      <c r="E55" s="5" t="n"/>
      <c r="F55" s="5" t="n"/>
      <c r="G55" s="5" t="n"/>
      <c r="H55" s="5" t="n"/>
      <c r="I55" s="5" t="n"/>
      <c r="J55" s="4" t="n"/>
      <c r="K55" s="5" t="n"/>
      <c r="L55" s="5" t="n"/>
    </row>
    <row r="56">
      <c r="A56" s="10">
        <f>IF(B56&lt;&gt;"","FND-"&amp;TEXT(ROW()-8,"000"),"")</f>
        <v/>
      </c>
      <c r="B56" s="4" t="n"/>
      <c r="C56" s="5" t="n"/>
      <c r="D56" s="5" t="n"/>
      <c r="E56" s="5" t="n"/>
      <c r="F56" s="5" t="n"/>
      <c r="G56" s="5" t="n"/>
      <c r="H56" s="5" t="n"/>
      <c r="I56" s="5" t="n"/>
      <c r="J56" s="4" t="n"/>
      <c r="K56" s="5" t="n"/>
      <c r="L56" s="5" t="n"/>
    </row>
    <row r="57">
      <c r="A57" s="10">
        <f>IF(B57&lt;&gt;"","FND-"&amp;TEXT(ROW()-8,"000"),"")</f>
        <v/>
      </c>
      <c r="B57" s="4" t="n"/>
      <c r="C57" s="5" t="n"/>
      <c r="D57" s="5" t="n"/>
      <c r="E57" s="5" t="n"/>
      <c r="F57" s="5" t="n"/>
      <c r="G57" s="5" t="n"/>
      <c r="H57" s="5" t="n"/>
      <c r="I57" s="5" t="n"/>
      <c r="J57" s="4" t="n"/>
      <c r="K57" s="5" t="n"/>
      <c r="L57" s="5" t="n"/>
    </row>
    <row r="58">
      <c r="A58" s="10">
        <f>IF(B58&lt;&gt;"","FND-"&amp;TEXT(ROW()-8,"000"),"")</f>
        <v/>
      </c>
      <c r="B58" s="4" t="n"/>
      <c r="C58" s="5" t="n"/>
      <c r="D58" s="5" t="n"/>
      <c r="E58" s="5" t="n"/>
      <c r="F58" s="5" t="n"/>
      <c r="G58" s="5" t="n"/>
      <c r="H58" s="5" t="n"/>
      <c r="I58" s="5" t="n"/>
      <c r="J58" s="4" t="n"/>
      <c r="K58" s="5" t="n"/>
      <c r="L58" s="5" t="n"/>
    </row>
    <row r="59">
      <c r="A59" s="10">
        <f>IF(B59&lt;&gt;"","FND-"&amp;TEXT(ROW()-8,"000"),"")</f>
        <v/>
      </c>
      <c r="B59" s="4" t="n"/>
      <c r="C59" s="5" t="n"/>
      <c r="D59" s="5" t="n"/>
      <c r="E59" s="5" t="n"/>
      <c r="F59" s="5" t="n"/>
      <c r="G59" s="5" t="n"/>
      <c r="H59" s="5" t="n"/>
      <c r="I59" s="5" t="n"/>
      <c r="J59" s="4" t="n"/>
      <c r="K59" s="5" t="n"/>
      <c r="L59" s="5" t="n"/>
    </row>
    <row r="60">
      <c r="A60" s="10">
        <f>IF(B60&lt;&gt;"","FND-"&amp;TEXT(ROW()-8,"000"),"")</f>
        <v/>
      </c>
      <c r="B60" s="4" t="n"/>
      <c r="C60" s="5" t="n"/>
      <c r="D60" s="5" t="n"/>
      <c r="E60" s="5" t="n"/>
      <c r="F60" s="5" t="n"/>
      <c r="G60" s="5" t="n"/>
      <c r="H60" s="5" t="n"/>
      <c r="I60" s="5" t="n"/>
      <c r="J60" s="4" t="n"/>
      <c r="K60" s="5" t="n"/>
      <c r="L60" s="5" t="n"/>
    </row>
    <row r="61">
      <c r="A61" s="10">
        <f>IF(B61&lt;&gt;"","FND-"&amp;TEXT(ROW()-8,"000"),"")</f>
        <v/>
      </c>
      <c r="B61" s="4" t="n"/>
      <c r="C61" s="5" t="n"/>
      <c r="D61" s="5" t="n"/>
      <c r="E61" s="5" t="n"/>
      <c r="F61" s="5" t="n"/>
      <c r="G61" s="5" t="n"/>
      <c r="H61" s="5" t="n"/>
      <c r="I61" s="5" t="n"/>
      <c r="J61" s="4" t="n"/>
      <c r="K61" s="5" t="n"/>
      <c r="L61" s="5" t="n"/>
    </row>
    <row r="62">
      <c r="A62" s="10">
        <f>IF(B62&lt;&gt;"","FND-"&amp;TEXT(ROW()-8,"000"),"")</f>
        <v/>
      </c>
      <c r="B62" s="4" t="n"/>
      <c r="C62" s="5" t="n"/>
      <c r="D62" s="5" t="n"/>
      <c r="E62" s="5" t="n"/>
      <c r="F62" s="5" t="n"/>
      <c r="G62" s="5" t="n"/>
      <c r="H62" s="5" t="n"/>
      <c r="I62" s="5" t="n"/>
      <c r="J62" s="4" t="n"/>
      <c r="K62" s="5" t="n"/>
      <c r="L62" s="5" t="n"/>
    </row>
    <row r="63">
      <c r="A63" s="10">
        <f>IF(B63&lt;&gt;"","FND-"&amp;TEXT(ROW()-8,"000"),"")</f>
        <v/>
      </c>
      <c r="B63" s="4" t="n"/>
      <c r="C63" s="5" t="n"/>
      <c r="D63" s="5" t="n"/>
      <c r="E63" s="5" t="n"/>
      <c r="F63" s="5" t="n"/>
      <c r="G63" s="5" t="n"/>
      <c r="H63" s="5" t="n"/>
      <c r="I63" s="5" t="n"/>
      <c r="J63" s="4" t="n"/>
      <c r="K63" s="5" t="n"/>
      <c r="L63" s="5" t="n"/>
    </row>
    <row r="64">
      <c r="A64" s="10">
        <f>IF(B64&lt;&gt;"","FND-"&amp;TEXT(ROW()-8,"000"),"")</f>
        <v/>
      </c>
      <c r="B64" s="4" t="n"/>
      <c r="C64" s="5" t="n"/>
      <c r="D64" s="5" t="n"/>
      <c r="E64" s="5" t="n"/>
      <c r="F64" s="5" t="n"/>
      <c r="G64" s="5" t="n"/>
      <c r="H64" s="5" t="n"/>
      <c r="I64" s="5" t="n"/>
      <c r="J64" s="4" t="n"/>
      <c r="K64" s="5" t="n"/>
      <c r="L64" s="5" t="n"/>
    </row>
    <row r="65">
      <c r="A65" s="10">
        <f>IF(B65&lt;&gt;"","FND-"&amp;TEXT(ROW()-8,"000"),"")</f>
        <v/>
      </c>
      <c r="B65" s="4" t="n"/>
      <c r="C65" s="5" t="n"/>
      <c r="D65" s="5" t="n"/>
      <c r="E65" s="5" t="n"/>
      <c r="F65" s="5" t="n"/>
      <c r="G65" s="5" t="n"/>
      <c r="H65" s="5" t="n"/>
      <c r="I65" s="5" t="n"/>
      <c r="J65" s="4" t="n"/>
      <c r="K65" s="5" t="n"/>
      <c r="L65" s="5" t="n"/>
    </row>
    <row r="66">
      <c r="A66" s="10">
        <f>IF(B66&lt;&gt;"","FND-"&amp;TEXT(ROW()-8,"000"),"")</f>
        <v/>
      </c>
      <c r="B66" s="4" t="n"/>
      <c r="C66" s="5" t="n"/>
      <c r="D66" s="5" t="n"/>
      <c r="E66" s="5" t="n"/>
      <c r="F66" s="5" t="n"/>
      <c r="G66" s="5" t="n"/>
      <c r="H66" s="5" t="n"/>
      <c r="I66" s="5" t="n"/>
      <c r="J66" s="4" t="n"/>
      <c r="K66" s="5" t="n"/>
      <c r="L66" s="5" t="n"/>
    </row>
    <row r="67">
      <c r="A67" s="10">
        <f>IF(B67&lt;&gt;"","FND-"&amp;TEXT(ROW()-8,"000"),"")</f>
        <v/>
      </c>
      <c r="B67" s="4" t="n"/>
      <c r="C67" s="5" t="n"/>
      <c r="D67" s="5" t="n"/>
      <c r="E67" s="5" t="n"/>
      <c r="F67" s="5" t="n"/>
      <c r="G67" s="5" t="n"/>
      <c r="H67" s="5" t="n"/>
      <c r="I67" s="5" t="n"/>
      <c r="J67" s="4" t="n"/>
      <c r="K67" s="5" t="n"/>
      <c r="L67" s="5" t="n"/>
    </row>
    <row r="68">
      <c r="A68" s="10">
        <f>IF(B68&lt;&gt;"","FND-"&amp;TEXT(ROW()-8,"000"),"")</f>
        <v/>
      </c>
      <c r="B68" s="4" t="n"/>
      <c r="C68" s="5" t="n"/>
      <c r="D68" s="5" t="n"/>
      <c r="E68" s="5" t="n"/>
      <c r="F68" s="5" t="n"/>
      <c r="G68" s="5" t="n"/>
      <c r="H68" s="5" t="n"/>
      <c r="I68" s="5" t="n"/>
      <c r="J68" s="4" t="n"/>
      <c r="K68" s="5" t="n"/>
      <c r="L68" s="5" t="n"/>
    </row>
    <row r="69">
      <c r="A69" s="10">
        <f>IF(B69&lt;&gt;"","FND-"&amp;TEXT(ROW()-8,"000"),"")</f>
        <v/>
      </c>
      <c r="B69" s="4" t="n"/>
      <c r="C69" s="5" t="n"/>
      <c r="D69" s="5" t="n"/>
      <c r="E69" s="5" t="n"/>
      <c r="F69" s="5" t="n"/>
      <c r="G69" s="5" t="n"/>
      <c r="H69" s="5" t="n"/>
      <c r="I69" s="5" t="n"/>
      <c r="J69" s="4" t="n"/>
      <c r="K69" s="5" t="n"/>
      <c r="L69" s="5" t="n"/>
    </row>
    <row r="70">
      <c r="A70" s="10">
        <f>IF(B70&lt;&gt;"","FND-"&amp;TEXT(ROW()-8,"000"),"")</f>
        <v/>
      </c>
      <c r="B70" s="4" t="n"/>
      <c r="C70" s="5" t="n"/>
      <c r="D70" s="5" t="n"/>
      <c r="E70" s="5" t="n"/>
      <c r="F70" s="5" t="n"/>
      <c r="G70" s="5" t="n"/>
      <c r="H70" s="5" t="n"/>
      <c r="I70" s="5" t="n"/>
      <c r="J70" s="4" t="n"/>
      <c r="K70" s="5" t="n"/>
      <c r="L70" s="5" t="n"/>
    </row>
    <row r="71">
      <c r="A71" s="10">
        <f>IF(B71&lt;&gt;"","FND-"&amp;TEXT(ROW()-8,"000"),"")</f>
        <v/>
      </c>
      <c r="B71" s="4" t="n"/>
      <c r="C71" s="5" t="n"/>
      <c r="D71" s="5" t="n"/>
      <c r="E71" s="5" t="n"/>
      <c r="F71" s="5" t="n"/>
      <c r="G71" s="5" t="n"/>
      <c r="H71" s="5" t="n"/>
      <c r="I71" s="5" t="n"/>
      <c r="J71" s="4" t="n"/>
      <c r="K71" s="5" t="n"/>
      <c r="L71" s="5" t="n"/>
    </row>
    <row r="72">
      <c r="A72" s="10">
        <f>IF(B72&lt;&gt;"","FND-"&amp;TEXT(ROW()-8,"000"),"")</f>
        <v/>
      </c>
      <c r="B72" s="4" t="n"/>
      <c r="C72" s="5" t="n"/>
      <c r="D72" s="5" t="n"/>
      <c r="E72" s="5" t="n"/>
      <c r="F72" s="5" t="n"/>
      <c r="G72" s="5" t="n"/>
      <c r="H72" s="5" t="n"/>
      <c r="I72" s="5" t="n"/>
      <c r="J72" s="4" t="n"/>
      <c r="K72" s="5" t="n"/>
      <c r="L72" s="5" t="n"/>
    </row>
    <row r="73">
      <c r="A73" s="10">
        <f>IF(B73&lt;&gt;"","FND-"&amp;TEXT(ROW()-8,"000"),"")</f>
        <v/>
      </c>
      <c r="B73" s="4" t="n"/>
      <c r="C73" s="5" t="n"/>
      <c r="D73" s="5" t="n"/>
      <c r="E73" s="5" t="n"/>
      <c r="F73" s="5" t="n"/>
      <c r="G73" s="5" t="n"/>
      <c r="H73" s="5" t="n"/>
      <c r="I73" s="5" t="n"/>
      <c r="J73" s="4" t="n"/>
      <c r="K73" s="5" t="n"/>
      <c r="L73" s="5" t="n"/>
    </row>
    <row r="74">
      <c r="A74" s="10">
        <f>IF(B74&lt;&gt;"","FND-"&amp;TEXT(ROW()-8,"000"),"")</f>
        <v/>
      </c>
      <c r="B74" s="4" t="n"/>
      <c r="C74" s="5" t="n"/>
      <c r="D74" s="5" t="n"/>
      <c r="E74" s="5" t="n"/>
      <c r="F74" s="5" t="n"/>
      <c r="G74" s="5" t="n"/>
      <c r="H74" s="5" t="n"/>
      <c r="I74" s="5" t="n"/>
      <c r="J74" s="4" t="n"/>
      <c r="K74" s="5" t="n"/>
      <c r="L74" s="5" t="n"/>
    </row>
    <row r="75">
      <c r="A75" s="10">
        <f>IF(B75&lt;&gt;"","FND-"&amp;TEXT(ROW()-8,"000"),"")</f>
        <v/>
      </c>
      <c r="B75" s="4" t="n"/>
      <c r="C75" s="5" t="n"/>
      <c r="D75" s="5" t="n"/>
      <c r="E75" s="5" t="n"/>
      <c r="F75" s="5" t="n"/>
      <c r="G75" s="5" t="n"/>
      <c r="H75" s="5" t="n"/>
      <c r="I75" s="5" t="n"/>
      <c r="J75" s="4" t="n"/>
      <c r="K75" s="5" t="n"/>
      <c r="L75" s="5" t="n"/>
    </row>
    <row r="76">
      <c r="A76" s="10">
        <f>IF(B76&lt;&gt;"","FND-"&amp;TEXT(ROW()-8,"000"),"")</f>
        <v/>
      </c>
      <c r="B76" s="4" t="n"/>
      <c r="C76" s="5" t="n"/>
      <c r="D76" s="5" t="n"/>
      <c r="E76" s="5" t="n"/>
      <c r="F76" s="5" t="n"/>
      <c r="G76" s="5" t="n"/>
      <c r="H76" s="5" t="n"/>
      <c r="I76" s="5" t="n"/>
      <c r="J76" s="4" t="n"/>
      <c r="K76" s="5" t="n"/>
      <c r="L76" s="5" t="n"/>
    </row>
    <row r="77">
      <c r="A77" s="10">
        <f>IF(B77&lt;&gt;"","FND-"&amp;TEXT(ROW()-8,"000"),"")</f>
        <v/>
      </c>
      <c r="B77" s="4" t="n"/>
      <c r="C77" s="5" t="n"/>
      <c r="D77" s="5" t="n"/>
      <c r="E77" s="5" t="n"/>
      <c r="F77" s="5" t="n"/>
      <c r="G77" s="5" t="n"/>
      <c r="H77" s="5" t="n"/>
      <c r="I77" s="5" t="n"/>
      <c r="J77" s="4" t="n"/>
      <c r="K77" s="5" t="n"/>
      <c r="L77" s="5" t="n"/>
    </row>
    <row r="78">
      <c r="A78" s="10">
        <f>IF(B78&lt;&gt;"","FND-"&amp;TEXT(ROW()-8,"000"),"")</f>
        <v/>
      </c>
      <c r="B78" s="4" t="n"/>
      <c r="C78" s="5" t="n"/>
      <c r="D78" s="5" t="n"/>
      <c r="E78" s="5" t="n"/>
      <c r="F78" s="5" t="n"/>
      <c r="G78" s="5" t="n"/>
      <c r="H78" s="5" t="n"/>
      <c r="I78" s="5" t="n"/>
      <c r="J78" s="4" t="n"/>
      <c r="K78" s="5" t="n"/>
      <c r="L78" s="5" t="n"/>
    </row>
    <row r="79">
      <c r="A79" s="10">
        <f>IF(B79&lt;&gt;"","FND-"&amp;TEXT(ROW()-8,"000"),"")</f>
        <v/>
      </c>
      <c r="B79" s="4" t="n"/>
      <c r="C79" s="5" t="n"/>
      <c r="D79" s="5" t="n"/>
      <c r="E79" s="5" t="n"/>
      <c r="F79" s="5" t="n"/>
      <c r="G79" s="5" t="n"/>
      <c r="H79" s="5" t="n"/>
      <c r="I79" s="5" t="n"/>
      <c r="J79" s="4" t="n"/>
      <c r="K79" s="5" t="n"/>
      <c r="L79" s="5" t="n"/>
    </row>
    <row r="80">
      <c r="A80" s="10">
        <f>IF(B80&lt;&gt;"","FND-"&amp;TEXT(ROW()-8,"000"),"")</f>
        <v/>
      </c>
      <c r="B80" s="4" t="n"/>
      <c r="C80" s="5" t="n"/>
      <c r="D80" s="5" t="n"/>
      <c r="E80" s="5" t="n"/>
      <c r="F80" s="5" t="n"/>
      <c r="G80" s="5" t="n"/>
      <c r="H80" s="5" t="n"/>
      <c r="I80" s="5" t="n"/>
      <c r="J80" s="4" t="n"/>
      <c r="K80" s="5" t="n"/>
      <c r="L80" s="5" t="n"/>
    </row>
    <row r="81">
      <c r="A81" s="10">
        <f>IF(B81&lt;&gt;"","FND-"&amp;TEXT(ROW()-8,"000"),"")</f>
        <v/>
      </c>
      <c r="B81" s="4" t="n"/>
      <c r="C81" s="5" t="n"/>
      <c r="D81" s="5" t="n"/>
      <c r="E81" s="5" t="n"/>
      <c r="F81" s="5" t="n"/>
      <c r="G81" s="5" t="n"/>
      <c r="H81" s="5" t="n"/>
      <c r="I81" s="5" t="n"/>
      <c r="J81" s="4" t="n"/>
      <c r="K81" s="5" t="n"/>
      <c r="L81" s="5" t="n"/>
    </row>
    <row r="82">
      <c r="A82" s="10">
        <f>IF(B82&lt;&gt;"","FND-"&amp;TEXT(ROW()-8,"000"),"")</f>
        <v/>
      </c>
      <c r="B82" s="4" t="n"/>
      <c r="C82" s="5" t="n"/>
      <c r="D82" s="5" t="n"/>
      <c r="E82" s="5" t="n"/>
      <c r="F82" s="5" t="n"/>
      <c r="G82" s="5" t="n"/>
      <c r="H82" s="5" t="n"/>
      <c r="I82" s="5" t="n"/>
      <c r="J82" s="4" t="n"/>
      <c r="K82" s="5" t="n"/>
      <c r="L82" s="5" t="n"/>
    </row>
    <row r="83">
      <c r="A83" s="10">
        <f>IF(B83&lt;&gt;"","FND-"&amp;TEXT(ROW()-8,"000"),"")</f>
        <v/>
      </c>
      <c r="B83" s="4" t="n"/>
      <c r="C83" s="5" t="n"/>
      <c r="D83" s="5" t="n"/>
      <c r="E83" s="5" t="n"/>
      <c r="F83" s="5" t="n"/>
      <c r="G83" s="5" t="n"/>
      <c r="H83" s="5" t="n"/>
      <c r="I83" s="5" t="n"/>
      <c r="J83" s="4" t="n"/>
      <c r="K83" s="5" t="n"/>
      <c r="L83" s="5" t="n"/>
    </row>
    <row r="84">
      <c r="A84" s="10">
        <f>IF(B84&lt;&gt;"","FND-"&amp;TEXT(ROW()-8,"000"),"")</f>
        <v/>
      </c>
      <c r="B84" s="4" t="n"/>
      <c r="C84" s="5" t="n"/>
      <c r="D84" s="5" t="n"/>
      <c r="E84" s="5" t="n"/>
      <c r="F84" s="5" t="n"/>
      <c r="G84" s="5" t="n"/>
      <c r="H84" s="5" t="n"/>
      <c r="I84" s="5" t="n"/>
      <c r="J84" s="4" t="n"/>
      <c r="K84" s="5" t="n"/>
      <c r="L84" s="5" t="n"/>
    </row>
    <row r="85">
      <c r="A85" s="10">
        <f>IF(B85&lt;&gt;"","FND-"&amp;TEXT(ROW()-8,"000"),"")</f>
        <v/>
      </c>
      <c r="B85" s="4" t="n"/>
      <c r="C85" s="5" t="n"/>
      <c r="D85" s="5" t="n"/>
      <c r="E85" s="5" t="n"/>
      <c r="F85" s="5" t="n"/>
      <c r="G85" s="5" t="n"/>
      <c r="H85" s="5" t="n"/>
      <c r="I85" s="5" t="n"/>
      <c r="J85" s="4" t="n"/>
      <c r="K85" s="5" t="n"/>
      <c r="L85" s="5" t="n"/>
    </row>
    <row r="86">
      <c r="A86" s="10">
        <f>IF(B86&lt;&gt;"","FND-"&amp;TEXT(ROW()-8,"000"),"")</f>
        <v/>
      </c>
      <c r="B86" s="4" t="n"/>
      <c r="C86" s="5" t="n"/>
      <c r="D86" s="5" t="n"/>
      <c r="E86" s="5" t="n"/>
      <c r="F86" s="5" t="n"/>
      <c r="G86" s="5" t="n"/>
      <c r="H86" s="5" t="n"/>
      <c r="I86" s="5" t="n"/>
      <c r="J86" s="4" t="n"/>
      <c r="K86" s="5" t="n"/>
      <c r="L86" s="5" t="n"/>
    </row>
    <row r="87">
      <c r="A87" s="10">
        <f>IF(B87&lt;&gt;"","FND-"&amp;TEXT(ROW()-8,"000"),"")</f>
        <v/>
      </c>
      <c r="B87" s="4" t="n"/>
      <c r="C87" s="5" t="n"/>
      <c r="D87" s="5" t="n"/>
      <c r="E87" s="5" t="n"/>
      <c r="F87" s="5" t="n"/>
      <c r="G87" s="5" t="n"/>
      <c r="H87" s="5" t="n"/>
      <c r="I87" s="5" t="n"/>
      <c r="J87" s="4" t="n"/>
      <c r="K87" s="5" t="n"/>
      <c r="L87" s="5" t="n"/>
    </row>
    <row r="88">
      <c r="A88" s="10">
        <f>IF(B88&lt;&gt;"","FND-"&amp;TEXT(ROW()-8,"000"),"")</f>
        <v/>
      </c>
      <c r="B88" s="4" t="n"/>
      <c r="C88" s="5" t="n"/>
      <c r="D88" s="5" t="n"/>
      <c r="E88" s="5" t="n"/>
      <c r="F88" s="5" t="n"/>
      <c r="G88" s="5" t="n"/>
      <c r="H88" s="5" t="n"/>
      <c r="I88" s="5" t="n"/>
      <c r="J88" s="4" t="n"/>
      <c r="K88" s="5" t="n"/>
      <c r="L88" s="5" t="n"/>
    </row>
    <row r="89">
      <c r="A89" s="10">
        <f>IF(B89&lt;&gt;"","FND-"&amp;TEXT(ROW()-8,"000"),"")</f>
        <v/>
      </c>
      <c r="B89" s="4" t="n"/>
      <c r="C89" s="5" t="n"/>
      <c r="D89" s="5" t="n"/>
      <c r="E89" s="5" t="n"/>
      <c r="F89" s="5" t="n"/>
      <c r="G89" s="5" t="n"/>
      <c r="H89" s="5" t="n"/>
      <c r="I89" s="5" t="n"/>
      <c r="J89" s="4" t="n"/>
      <c r="K89" s="5" t="n"/>
      <c r="L89" s="5" t="n"/>
    </row>
    <row r="90">
      <c r="A90" s="10">
        <f>IF(B90&lt;&gt;"","FND-"&amp;TEXT(ROW()-8,"000"),"")</f>
        <v/>
      </c>
      <c r="B90" s="4" t="n"/>
      <c r="C90" s="5" t="n"/>
      <c r="D90" s="5" t="n"/>
      <c r="E90" s="5" t="n"/>
      <c r="F90" s="5" t="n"/>
      <c r="G90" s="5" t="n"/>
      <c r="H90" s="5" t="n"/>
      <c r="I90" s="5" t="n"/>
      <c r="J90" s="4" t="n"/>
      <c r="K90" s="5" t="n"/>
      <c r="L90" s="5" t="n"/>
    </row>
    <row r="91">
      <c r="A91" s="10">
        <f>IF(B91&lt;&gt;"","FND-"&amp;TEXT(ROW()-8,"000"),"")</f>
        <v/>
      </c>
      <c r="B91" s="4" t="n"/>
      <c r="C91" s="5" t="n"/>
      <c r="D91" s="5" t="n"/>
      <c r="E91" s="5" t="n"/>
      <c r="F91" s="5" t="n"/>
      <c r="G91" s="5" t="n"/>
      <c r="H91" s="5" t="n"/>
      <c r="I91" s="5" t="n"/>
      <c r="J91" s="4" t="n"/>
      <c r="K91" s="5" t="n"/>
      <c r="L91" s="5" t="n"/>
    </row>
    <row r="92">
      <c r="A92" s="10">
        <f>IF(B92&lt;&gt;"","FND-"&amp;TEXT(ROW()-8,"000"),"")</f>
        <v/>
      </c>
      <c r="B92" s="4" t="n"/>
      <c r="C92" s="5" t="n"/>
      <c r="D92" s="5" t="n"/>
      <c r="E92" s="5" t="n"/>
      <c r="F92" s="5" t="n"/>
      <c r="G92" s="5" t="n"/>
      <c r="H92" s="5" t="n"/>
      <c r="I92" s="5" t="n"/>
      <c r="J92" s="4" t="n"/>
      <c r="K92" s="5" t="n"/>
      <c r="L92" s="5" t="n"/>
    </row>
    <row r="93">
      <c r="A93" s="10">
        <f>IF(B93&lt;&gt;"","FND-"&amp;TEXT(ROW()-8,"000"),"")</f>
        <v/>
      </c>
      <c r="B93" s="4" t="n"/>
      <c r="C93" s="5" t="n"/>
      <c r="D93" s="5" t="n"/>
      <c r="E93" s="5" t="n"/>
      <c r="F93" s="5" t="n"/>
      <c r="G93" s="5" t="n"/>
      <c r="H93" s="5" t="n"/>
      <c r="I93" s="5" t="n"/>
      <c r="J93" s="4" t="n"/>
      <c r="K93" s="5" t="n"/>
      <c r="L93" s="5" t="n"/>
    </row>
    <row r="94">
      <c r="A94" s="10">
        <f>IF(B94&lt;&gt;"","FND-"&amp;TEXT(ROW()-8,"000"),"")</f>
        <v/>
      </c>
      <c r="B94" s="4" t="n"/>
      <c r="C94" s="5" t="n"/>
      <c r="D94" s="5" t="n"/>
      <c r="E94" s="5" t="n"/>
      <c r="F94" s="5" t="n"/>
      <c r="G94" s="5" t="n"/>
      <c r="H94" s="5" t="n"/>
      <c r="I94" s="5" t="n"/>
      <c r="J94" s="4" t="n"/>
      <c r="K94" s="5" t="n"/>
      <c r="L94" s="5" t="n"/>
    </row>
    <row r="95">
      <c r="A95" s="10">
        <f>IF(B95&lt;&gt;"","FND-"&amp;TEXT(ROW()-8,"000"),"")</f>
        <v/>
      </c>
      <c r="B95" s="4" t="n"/>
      <c r="C95" s="5" t="n"/>
      <c r="D95" s="5" t="n"/>
      <c r="E95" s="5" t="n"/>
      <c r="F95" s="5" t="n"/>
      <c r="G95" s="5" t="n"/>
      <c r="H95" s="5" t="n"/>
      <c r="I95" s="5" t="n"/>
      <c r="J95" s="4" t="n"/>
      <c r="K95" s="5" t="n"/>
      <c r="L95" s="5" t="n"/>
    </row>
    <row r="96">
      <c r="A96" s="10">
        <f>IF(B96&lt;&gt;"","FND-"&amp;TEXT(ROW()-8,"000"),"")</f>
        <v/>
      </c>
      <c r="B96" s="4" t="n"/>
      <c r="C96" s="5" t="n"/>
      <c r="D96" s="5" t="n"/>
      <c r="E96" s="5" t="n"/>
      <c r="F96" s="5" t="n"/>
      <c r="G96" s="5" t="n"/>
      <c r="H96" s="5" t="n"/>
      <c r="I96" s="5" t="n"/>
      <c r="J96" s="4" t="n"/>
      <c r="K96" s="5" t="n"/>
      <c r="L96" s="5" t="n"/>
    </row>
    <row r="97">
      <c r="A97" s="10">
        <f>IF(B97&lt;&gt;"","FND-"&amp;TEXT(ROW()-8,"000"),"")</f>
        <v/>
      </c>
      <c r="B97" s="4" t="n"/>
      <c r="C97" s="5" t="n"/>
      <c r="D97" s="5" t="n"/>
      <c r="E97" s="5" t="n"/>
      <c r="F97" s="5" t="n"/>
      <c r="G97" s="5" t="n"/>
      <c r="H97" s="5" t="n"/>
      <c r="I97" s="5" t="n"/>
      <c r="J97" s="4" t="n"/>
      <c r="K97" s="5" t="n"/>
      <c r="L97" s="5" t="n"/>
    </row>
    <row r="98">
      <c r="A98" s="10">
        <f>IF(B98&lt;&gt;"","FND-"&amp;TEXT(ROW()-8,"000"),"")</f>
        <v/>
      </c>
      <c r="B98" s="4" t="n"/>
      <c r="C98" s="5" t="n"/>
      <c r="D98" s="5" t="n"/>
      <c r="E98" s="5" t="n"/>
      <c r="F98" s="5" t="n"/>
      <c r="G98" s="5" t="n"/>
      <c r="H98" s="5" t="n"/>
      <c r="I98" s="5" t="n"/>
      <c r="J98" s="4" t="n"/>
      <c r="K98" s="5" t="n"/>
      <c r="L98" s="5" t="n"/>
    </row>
    <row r="99">
      <c r="A99" s="10">
        <f>IF(B99&lt;&gt;"","FND-"&amp;TEXT(ROW()-8,"000"),"")</f>
        <v/>
      </c>
      <c r="B99" s="4" t="n"/>
      <c r="C99" s="5" t="n"/>
      <c r="D99" s="5" t="n"/>
      <c r="E99" s="5" t="n"/>
      <c r="F99" s="5" t="n"/>
      <c r="G99" s="5" t="n"/>
      <c r="H99" s="5" t="n"/>
      <c r="I99" s="5" t="n"/>
      <c r="J99" s="4" t="n"/>
      <c r="K99" s="5" t="n"/>
      <c r="L99" s="5" t="n"/>
    </row>
    <row r="100">
      <c r="A100" s="10">
        <f>IF(B100&lt;&gt;"","FND-"&amp;TEXT(ROW()-8,"000"),"")</f>
        <v/>
      </c>
      <c r="B100" s="4" t="n"/>
      <c r="C100" s="5" t="n"/>
      <c r="D100" s="5" t="n"/>
      <c r="E100" s="5" t="n"/>
      <c r="F100" s="5" t="n"/>
      <c r="G100" s="5" t="n"/>
      <c r="H100" s="5" t="n"/>
      <c r="I100" s="5" t="n"/>
      <c r="J100" s="4" t="n"/>
      <c r="K100" s="5" t="n"/>
      <c r="L100" s="5" t="n"/>
    </row>
    <row r="101">
      <c r="A101" s="10">
        <f>IF(B101&lt;&gt;"","FND-"&amp;TEXT(ROW()-8,"000"),"")</f>
        <v/>
      </c>
      <c r="B101" s="4" t="n"/>
      <c r="C101" s="5" t="n"/>
      <c r="D101" s="5" t="n"/>
      <c r="E101" s="5" t="n"/>
      <c r="F101" s="5" t="n"/>
      <c r="G101" s="5" t="n"/>
      <c r="H101" s="5" t="n"/>
      <c r="I101" s="5" t="n"/>
      <c r="J101" s="4" t="n"/>
      <c r="K101" s="5" t="n"/>
      <c r="L101" s="5" t="n"/>
    </row>
    <row r="102">
      <c r="A102" s="10">
        <f>IF(B102&lt;&gt;"","FND-"&amp;TEXT(ROW()-8,"000"),"")</f>
        <v/>
      </c>
      <c r="B102" s="4" t="n"/>
      <c r="C102" s="5" t="n"/>
      <c r="D102" s="5" t="n"/>
      <c r="E102" s="5" t="n"/>
      <c r="F102" s="5" t="n"/>
      <c r="G102" s="5" t="n"/>
      <c r="H102" s="5" t="n"/>
      <c r="I102" s="5" t="n"/>
      <c r="J102" s="4" t="n"/>
      <c r="K102" s="5" t="n"/>
      <c r="L102" s="5" t="n"/>
    </row>
    <row r="103">
      <c r="A103" s="10">
        <f>IF(B103&lt;&gt;"","FND-"&amp;TEXT(ROW()-8,"000"),"")</f>
        <v/>
      </c>
      <c r="B103" s="4" t="n"/>
      <c r="C103" s="5" t="n"/>
      <c r="D103" s="5" t="n"/>
      <c r="E103" s="5" t="n"/>
      <c r="F103" s="5" t="n"/>
      <c r="G103" s="5" t="n"/>
      <c r="H103" s="5" t="n"/>
      <c r="I103" s="5" t="n"/>
      <c r="J103" s="4" t="n"/>
      <c r="K103" s="5" t="n"/>
      <c r="L103" s="5" t="n"/>
    </row>
    <row r="104">
      <c r="A104" s="10">
        <f>IF(B104&lt;&gt;"","FND-"&amp;TEXT(ROW()-8,"000"),"")</f>
        <v/>
      </c>
      <c r="B104" s="4" t="n"/>
      <c r="C104" s="5" t="n"/>
      <c r="D104" s="5" t="n"/>
      <c r="E104" s="5" t="n"/>
      <c r="F104" s="5" t="n"/>
      <c r="G104" s="5" t="n"/>
      <c r="H104" s="5" t="n"/>
      <c r="I104" s="5" t="n"/>
      <c r="J104" s="4" t="n"/>
      <c r="K104" s="5" t="n"/>
      <c r="L104" s="5" t="n"/>
    </row>
    <row r="105">
      <c r="A105" s="10">
        <f>IF(B105&lt;&gt;"","FND-"&amp;TEXT(ROW()-8,"000"),"")</f>
        <v/>
      </c>
      <c r="B105" s="4" t="n"/>
      <c r="C105" s="5" t="n"/>
      <c r="D105" s="5" t="n"/>
      <c r="E105" s="5" t="n"/>
      <c r="F105" s="5" t="n"/>
      <c r="G105" s="5" t="n"/>
      <c r="H105" s="5" t="n"/>
      <c r="I105" s="5" t="n"/>
      <c r="J105" s="4" t="n"/>
      <c r="K105" s="5" t="n"/>
      <c r="L105" s="5" t="n"/>
    </row>
    <row r="106">
      <c r="A106" s="10">
        <f>IF(B106&lt;&gt;"","FND-"&amp;TEXT(ROW()-8,"000"),"")</f>
        <v/>
      </c>
      <c r="B106" s="4" t="n"/>
      <c r="C106" s="5" t="n"/>
      <c r="D106" s="5" t="n"/>
      <c r="E106" s="5" t="n"/>
      <c r="F106" s="5" t="n"/>
      <c r="G106" s="5" t="n"/>
      <c r="H106" s="5" t="n"/>
      <c r="I106" s="5" t="n"/>
      <c r="J106" s="4" t="n"/>
      <c r="K106" s="5" t="n"/>
      <c r="L106" s="5" t="n"/>
    </row>
    <row r="107">
      <c r="A107" s="10">
        <f>IF(B107&lt;&gt;"","FND-"&amp;TEXT(ROW()-8,"000"),"")</f>
        <v/>
      </c>
      <c r="B107" s="4" t="n"/>
      <c r="C107" s="5" t="n"/>
      <c r="D107" s="5" t="n"/>
      <c r="E107" s="5" t="n"/>
      <c r="F107" s="5" t="n"/>
      <c r="G107" s="5" t="n"/>
      <c r="H107" s="5" t="n"/>
      <c r="I107" s="5" t="n"/>
      <c r="J107" s="4" t="n"/>
      <c r="K107" s="5" t="n"/>
      <c r="L107" s="5" t="n"/>
    </row>
    <row r="108">
      <c r="A108" s="10">
        <f>IF(B108&lt;&gt;"","FND-"&amp;TEXT(ROW()-8,"000"),"")</f>
        <v/>
      </c>
      <c r="B108" s="4" t="n"/>
      <c r="C108" s="5" t="n"/>
      <c r="D108" s="5" t="n"/>
      <c r="E108" s="5" t="n"/>
      <c r="F108" s="5" t="n"/>
      <c r="G108" s="5" t="n"/>
      <c r="H108" s="5" t="n"/>
      <c r="I108" s="5" t="n"/>
      <c r="J108" s="4" t="n"/>
      <c r="K108" s="5" t="n"/>
      <c r="L108" s="5" t="n"/>
    </row>
    <row r="109">
      <c r="A109" s="10">
        <f>IF(B109&lt;&gt;"","FND-"&amp;TEXT(ROW()-8,"000"),"")</f>
        <v/>
      </c>
      <c r="B109" s="4" t="n"/>
      <c r="C109" s="5" t="n"/>
      <c r="D109" s="5" t="n"/>
      <c r="E109" s="5" t="n"/>
      <c r="F109" s="5" t="n"/>
      <c r="G109" s="5" t="n"/>
      <c r="H109" s="5" t="n"/>
      <c r="I109" s="5" t="n"/>
      <c r="J109" s="4" t="n"/>
      <c r="K109" s="5" t="n"/>
      <c r="L109" s="5" t="n"/>
    </row>
    <row r="110">
      <c r="A110" s="10">
        <f>IF(B110&lt;&gt;"","FND-"&amp;TEXT(ROW()-8,"000"),"")</f>
        <v/>
      </c>
      <c r="B110" s="4" t="n"/>
      <c r="C110" s="5" t="n"/>
      <c r="D110" s="5" t="n"/>
      <c r="E110" s="5" t="n"/>
      <c r="F110" s="5" t="n"/>
      <c r="G110" s="5" t="n"/>
      <c r="H110" s="5" t="n"/>
      <c r="I110" s="5" t="n"/>
      <c r="J110" s="4" t="n"/>
      <c r="K110" s="5" t="n"/>
      <c r="L110" s="5" t="n"/>
    </row>
    <row r="111">
      <c r="A111" s="10">
        <f>IF(B111&lt;&gt;"","FND-"&amp;TEXT(ROW()-8,"000"),"")</f>
        <v/>
      </c>
      <c r="B111" s="4" t="n"/>
      <c r="C111" s="5" t="n"/>
      <c r="D111" s="5" t="n"/>
      <c r="E111" s="5" t="n"/>
      <c r="F111" s="5" t="n"/>
      <c r="G111" s="5" t="n"/>
      <c r="H111" s="5" t="n"/>
      <c r="I111" s="5" t="n"/>
      <c r="J111" s="4" t="n"/>
      <c r="K111" s="5" t="n"/>
      <c r="L111" s="5" t="n"/>
    </row>
    <row r="112">
      <c r="A112" s="10">
        <f>IF(B112&lt;&gt;"","FND-"&amp;TEXT(ROW()-8,"000"),"")</f>
        <v/>
      </c>
      <c r="B112" s="4" t="n"/>
      <c r="C112" s="5" t="n"/>
      <c r="D112" s="5" t="n"/>
      <c r="E112" s="5" t="n"/>
      <c r="F112" s="5" t="n"/>
      <c r="G112" s="5" t="n"/>
      <c r="H112" s="5" t="n"/>
      <c r="I112" s="5" t="n"/>
      <c r="J112" s="4" t="n"/>
      <c r="K112" s="5" t="n"/>
      <c r="L112" s="5" t="n"/>
    </row>
    <row r="113">
      <c r="A113" s="10">
        <f>IF(B113&lt;&gt;"","FND-"&amp;TEXT(ROW()-8,"000"),"")</f>
        <v/>
      </c>
      <c r="B113" s="4" t="n"/>
      <c r="C113" s="5" t="n"/>
      <c r="D113" s="5" t="n"/>
      <c r="E113" s="5" t="n"/>
      <c r="F113" s="5" t="n"/>
      <c r="G113" s="5" t="n"/>
      <c r="H113" s="5" t="n"/>
      <c r="I113" s="5" t="n"/>
      <c r="J113" s="4" t="n"/>
      <c r="K113" s="5" t="n"/>
      <c r="L113" s="5" t="n"/>
    </row>
    <row r="114">
      <c r="A114" s="10">
        <f>IF(B114&lt;&gt;"","FND-"&amp;TEXT(ROW()-8,"000"),"")</f>
        <v/>
      </c>
      <c r="B114" s="4" t="n"/>
      <c r="C114" s="5" t="n"/>
      <c r="D114" s="5" t="n"/>
      <c r="E114" s="5" t="n"/>
      <c r="F114" s="5" t="n"/>
      <c r="G114" s="5" t="n"/>
      <c r="H114" s="5" t="n"/>
      <c r="I114" s="5" t="n"/>
      <c r="J114" s="4" t="n"/>
      <c r="K114" s="5" t="n"/>
      <c r="L114" s="5" t="n"/>
    </row>
    <row r="115">
      <c r="A115" s="10">
        <f>IF(B115&lt;&gt;"","FND-"&amp;TEXT(ROW()-8,"000"),"")</f>
        <v/>
      </c>
      <c r="B115" s="4" t="n"/>
      <c r="C115" s="5" t="n"/>
      <c r="D115" s="5" t="n"/>
      <c r="E115" s="5" t="n"/>
      <c r="F115" s="5" t="n"/>
      <c r="G115" s="5" t="n"/>
      <c r="H115" s="5" t="n"/>
      <c r="I115" s="5" t="n"/>
      <c r="J115" s="4" t="n"/>
      <c r="K115" s="5" t="n"/>
      <c r="L115" s="5" t="n"/>
    </row>
    <row r="116">
      <c r="A116" s="10">
        <f>IF(B116&lt;&gt;"","FND-"&amp;TEXT(ROW()-8,"000"),"")</f>
        <v/>
      </c>
      <c r="B116" s="4" t="n"/>
      <c r="C116" s="5" t="n"/>
      <c r="D116" s="5" t="n"/>
      <c r="E116" s="5" t="n"/>
      <c r="F116" s="5" t="n"/>
      <c r="G116" s="5" t="n"/>
      <c r="H116" s="5" t="n"/>
      <c r="I116" s="5" t="n"/>
      <c r="J116" s="4" t="n"/>
      <c r="K116" s="5" t="n"/>
      <c r="L116" s="5" t="n"/>
    </row>
    <row r="117">
      <c r="A117" s="10">
        <f>IF(B117&lt;&gt;"","FND-"&amp;TEXT(ROW()-8,"000"),"")</f>
        <v/>
      </c>
      <c r="B117" s="4" t="n"/>
      <c r="C117" s="5" t="n"/>
      <c r="D117" s="5" t="n"/>
      <c r="E117" s="5" t="n"/>
      <c r="F117" s="5" t="n"/>
      <c r="G117" s="5" t="n"/>
      <c r="H117" s="5" t="n"/>
      <c r="I117" s="5" t="n"/>
      <c r="J117" s="4" t="n"/>
      <c r="K117" s="5" t="n"/>
      <c r="L117" s="5" t="n"/>
    </row>
    <row r="118">
      <c r="A118" s="10">
        <f>IF(B118&lt;&gt;"","FND-"&amp;TEXT(ROW()-8,"000"),"")</f>
        <v/>
      </c>
      <c r="B118" s="4" t="n"/>
      <c r="C118" s="5" t="n"/>
      <c r="D118" s="5" t="n"/>
      <c r="E118" s="5" t="n"/>
      <c r="F118" s="5" t="n"/>
      <c r="G118" s="5" t="n"/>
      <c r="H118" s="5" t="n"/>
      <c r="I118" s="5" t="n"/>
      <c r="J118" s="4" t="n"/>
      <c r="K118" s="5" t="n"/>
      <c r="L118" s="5" t="n"/>
    </row>
    <row r="119">
      <c r="A119" s="10">
        <f>IF(B119&lt;&gt;"","FND-"&amp;TEXT(ROW()-8,"000"),"")</f>
        <v/>
      </c>
      <c r="B119" s="4" t="n"/>
      <c r="C119" s="5" t="n"/>
      <c r="D119" s="5" t="n"/>
      <c r="E119" s="5" t="n"/>
      <c r="F119" s="5" t="n"/>
      <c r="G119" s="5" t="n"/>
      <c r="H119" s="5" t="n"/>
      <c r="I119" s="5" t="n"/>
      <c r="J119" s="4" t="n"/>
      <c r="K119" s="5" t="n"/>
      <c r="L119" s="5" t="n"/>
    </row>
    <row r="120">
      <c r="A120" s="10">
        <f>IF(B120&lt;&gt;"","FND-"&amp;TEXT(ROW()-8,"000"),"")</f>
        <v/>
      </c>
      <c r="B120" s="4" t="n"/>
      <c r="C120" s="5" t="n"/>
      <c r="D120" s="5" t="n"/>
      <c r="E120" s="5" t="n"/>
      <c r="F120" s="5" t="n"/>
      <c r="G120" s="5" t="n"/>
      <c r="H120" s="5" t="n"/>
      <c r="I120" s="5" t="n"/>
      <c r="J120" s="4" t="n"/>
      <c r="K120" s="5" t="n"/>
      <c r="L120" s="5" t="n"/>
    </row>
    <row r="121">
      <c r="A121" s="10">
        <f>IF(B121&lt;&gt;"","FND-"&amp;TEXT(ROW()-8,"000"),"")</f>
        <v/>
      </c>
      <c r="B121" s="4" t="n"/>
      <c r="C121" s="5" t="n"/>
      <c r="D121" s="5" t="n"/>
      <c r="E121" s="5" t="n"/>
      <c r="F121" s="5" t="n"/>
      <c r="G121" s="5" t="n"/>
      <c r="H121" s="5" t="n"/>
      <c r="I121" s="5" t="n"/>
      <c r="J121" s="4" t="n"/>
      <c r="K121" s="5" t="n"/>
      <c r="L121" s="5" t="n"/>
    </row>
    <row r="122">
      <c r="A122" s="10">
        <f>IF(B122&lt;&gt;"","FND-"&amp;TEXT(ROW()-8,"000"),"")</f>
        <v/>
      </c>
      <c r="B122" s="4" t="n"/>
      <c r="C122" s="5" t="n"/>
      <c r="D122" s="5" t="n"/>
      <c r="E122" s="5" t="n"/>
      <c r="F122" s="5" t="n"/>
      <c r="G122" s="5" t="n"/>
      <c r="H122" s="5" t="n"/>
      <c r="I122" s="5" t="n"/>
      <c r="J122" s="4" t="n"/>
      <c r="K122" s="5" t="n"/>
      <c r="L122" s="5" t="n"/>
    </row>
    <row r="123">
      <c r="A123" s="10">
        <f>IF(B123&lt;&gt;"","FND-"&amp;TEXT(ROW()-8,"000"),"")</f>
        <v/>
      </c>
      <c r="B123" s="4" t="n"/>
      <c r="C123" s="5" t="n"/>
      <c r="D123" s="5" t="n"/>
      <c r="E123" s="5" t="n"/>
      <c r="F123" s="5" t="n"/>
      <c r="G123" s="5" t="n"/>
      <c r="H123" s="5" t="n"/>
      <c r="I123" s="5" t="n"/>
      <c r="J123" s="4" t="n"/>
      <c r="K123" s="5" t="n"/>
      <c r="L123" s="5" t="n"/>
    </row>
    <row r="124">
      <c r="A124" s="10">
        <f>IF(B124&lt;&gt;"","FND-"&amp;TEXT(ROW()-8,"000"),"")</f>
        <v/>
      </c>
      <c r="B124" s="4" t="n"/>
      <c r="C124" s="5" t="n"/>
      <c r="D124" s="5" t="n"/>
      <c r="E124" s="5" t="n"/>
      <c r="F124" s="5" t="n"/>
      <c r="G124" s="5" t="n"/>
      <c r="H124" s="5" t="n"/>
      <c r="I124" s="5" t="n"/>
      <c r="J124" s="4" t="n"/>
      <c r="K124" s="5" t="n"/>
      <c r="L124" s="5" t="n"/>
    </row>
    <row r="125">
      <c r="A125" s="10">
        <f>IF(B125&lt;&gt;"","FND-"&amp;TEXT(ROW()-8,"000"),"")</f>
        <v/>
      </c>
      <c r="B125" s="4" t="n"/>
      <c r="C125" s="5" t="n"/>
      <c r="D125" s="5" t="n"/>
      <c r="E125" s="5" t="n"/>
      <c r="F125" s="5" t="n"/>
      <c r="G125" s="5" t="n"/>
      <c r="H125" s="5" t="n"/>
      <c r="I125" s="5" t="n"/>
      <c r="J125" s="4" t="n"/>
      <c r="K125" s="5" t="n"/>
      <c r="L125" s="5" t="n"/>
    </row>
    <row r="126">
      <c r="A126" s="10">
        <f>IF(B126&lt;&gt;"","FND-"&amp;TEXT(ROW()-8,"000"),"")</f>
        <v/>
      </c>
      <c r="B126" s="4" t="n"/>
      <c r="C126" s="5" t="n"/>
      <c r="D126" s="5" t="n"/>
      <c r="E126" s="5" t="n"/>
      <c r="F126" s="5" t="n"/>
      <c r="G126" s="5" t="n"/>
      <c r="H126" s="5" t="n"/>
      <c r="I126" s="5" t="n"/>
      <c r="J126" s="4" t="n"/>
      <c r="K126" s="5" t="n"/>
      <c r="L126" s="5" t="n"/>
    </row>
    <row r="127">
      <c r="A127" s="10">
        <f>IF(B127&lt;&gt;"","FND-"&amp;TEXT(ROW()-8,"000"),"")</f>
        <v/>
      </c>
      <c r="B127" s="4" t="n"/>
      <c r="C127" s="5" t="n"/>
      <c r="D127" s="5" t="n"/>
      <c r="E127" s="5" t="n"/>
      <c r="F127" s="5" t="n"/>
      <c r="G127" s="5" t="n"/>
      <c r="H127" s="5" t="n"/>
      <c r="I127" s="5" t="n"/>
      <c r="J127" s="4" t="n"/>
      <c r="K127" s="5" t="n"/>
      <c r="L127" s="5" t="n"/>
    </row>
    <row r="128">
      <c r="A128" s="10">
        <f>IF(B128&lt;&gt;"","FND-"&amp;TEXT(ROW()-8,"000"),"")</f>
        <v/>
      </c>
      <c r="B128" s="4" t="n"/>
      <c r="C128" s="5" t="n"/>
      <c r="D128" s="5" t="n"/>
      <c r="E128" s="5" t="n"/>
      <c r="F128" s="5" t="n"/>
      <c r="G128" s="5" t="n"/>
      <c r="H128" s="5" t="n"/>
      <c r="I128" s="5" t="n"/>
      <c r="J128" s="4" t="n"/>
      <c r="K128" s="5" t="n"/>
      <c r="L128" s="5" t="n"/>
    </row>
    <row r="129">
      <c r="A129" s="10">
        <f>IF(B129&lt;&gt;"","FND-"&amp;TEXT(ROW()-8,"000"),"")</f>
        <v/>
      </c>
      <c r="B129" s="4" t="n"/>
      <c r="C129" s="5" t="n"/>
      <c r="D129" s="5" t="n"/>
      <c r="E129" s="5" t="n"/>
      <c r="F129" s="5" t="n"/>
      <c r="G129" s="5" t="n"/>
      <c r="H129" s="5" t="n"/>
      <c r="I129" s="5" t="n"/>
      <c r="J129" s="4" t="n"/>
      <c r="K129" s="5" t="n"/>
      <c r="L129" s="5" t="n"/>
    </row>
    <row r="130">
      <c r="A130" s="10">
        <f>IF(B130&lt;&gt;"","FND-"&amp;TEXT(ROW()-8,"000"),"")</f>
        <v/>
      </c>
      <c r="B130" s="4" t="n"/>
      <c r="C130" s="5" t="n"/>
      <c r="D130" s="5" t="n"/>
      <c r="E130" s="5" t="n"/>
      <c r="F130" s="5" t="n"/>
      <c r="G130" s="5" t="n"/>
      <c r="H130" s="5" t="n"/>
      <c r="I130" s="5" t="n"/>
      <c r="J130" s="4" t="n"/>
      <c r="K130" s="5" t="n"/>
      <c r="L130" s="5" t="n"/>
    </row>
    <row r="131">
      <c r="A131" s="10">
        <f>IF(B131&lt;&gt;"","FND-"&amp;TEXT(ROW()-8,"000"),"")</f>
        <v/>
      </c>
      <c r="B131" s="4" t="n"/>
      <c r="C131" s="5" t="n"/>
      <c r="D131" s="5" t="n"/>
      <c r="E131" s="5" t="n"/>
      <c r="F131" s="5" t="n"/>
      <c r="G131" s="5" t="n"/>
      <c r="H131" s="5" t="n"/>
      <c r="I131" s="5" t="n"/>
      <c r="J131" s="4" t="n"/>
      <c r="K131" s="5" t="n"/>
      <c r="L131" s="5" t="n"/>
    </row>
    <row r="132">
      <c r="A132" s="10">
        <f>IF(B132&lt;&gt;"","FND-"&amp;TEXT(ROW()-8,"000"),"")</f>
        <v/>
      </c>
      <c r="B132" s="4" t="n"/>
      <c r="C132" s="5" t="n"/>
      <c r="D132" s="5" t="n"/>
      <c r="E132" s="5" t="n"/>
      <c r="F132" s="5" t="n"/>
      <c r="G132" s="5" t="n"/>
      <c r="H132" s="5" t="n"/>
      <c r="I132" s="5" t="n"/>
      <c r="J132" s="4" t="n"/>
      <c r="K132" s="5" t="n"/>
      <c r="L132" s="5" t="n"/>
    </row>
    <row r="133">
      <c r="A133" s="10">
        <f>IF(B133&lt;&gt;"","FND-"&amp;TEXT(ROW()-8,"000"),"")</f>
        <v/>
      </c>
      <c r="B133" s="4" t="n"/>
      <c r="C133" s="5" t="n"/>
      <c r="D133" s="5" t="n"/>
      <c r="E133" s="5" t="n"/>
      <c r="F133" s="5" t="n"/>
      <c r="G133" s="5" t="n"/>
      <c r="H133" s="5" t="n"/>
      <c r="I133" s="5" t="n"/>
      <c r="J133" s="4" t="n"/>
      <c r="K133" s="5" t="n"/>
      <c r="L133" s="5" t="n"/>
    </row>
    <row r="134">
      <c r="A134" s="10">
        <f>IF(B134&lt;&gt;"","FND-"&amp;TEXT(ROW()-8,"000"),"")</f>
        <v/>
      </c>
      <c r="B134" s="4" t="n"/>
      <c r="C134" s="5" t="n"/>
      <c r="D134" s="5" t="n"/>
      <c r="E134" s="5" t="n"/>
      <c r="F134" s="5" t="n"/>
      <c r="G134" s="5" t="n"/>
      <c r="H134" s="5" t="n"/>
      <c r="I134" s="5" t="n"/>
      <c r="J134" s="4" t="n"/>
      <c r="K134" s="5" t="n"/>
      <c r="L134" s="5" t="n"/>
    </row>
    <row r="135">
      <c r="A135" s="10">
        <f>IF(B135&lt;&gt;"","FND-"&amp;TEXT(ROW()-8,"000"),"")</f>
        <v/>
      </c>
      <c r="B135" s="4" t="n"/>
      <c r="C135" s="5" t="n"/>
      <c r="D135" s="5" t="n"/>
      <c r="E135" s="5" t="n"/>
      <c r="F135" s="5" t="n"/>
      <c r="G135" s="5" t="n"/>
      <c r="H135" s="5" t="n"/>
      <c r="I135" s="5" t="n"/>
      <c r="J135" s="4" t="n"/>
      <c r="K135" s="5" t="n"/>
      <c r="L135" s="5" t="n"/>
    </row>
    <row r="136">
      <c r="A136" s="10">
        <f>IF(B136&lt;&gt;"","FND-"&amp;TEXT(ROW()-8,"000"),"")</f>
        <v/>
      </c>
      <c r="B136" s="4" t="n"/>
      <c r="C136" s="5" t="n"/>
      <c r="D136" s="5" t="n"/>
      <c r="E136" s="5" t="n"/>
      <c r="F136" s="5" t="n"/>
      <c r="G136" s="5" t="n"/>
      <c r="H136" s="5" t="n"/>
      <c r="I136" s="5" t="n"/>
      <c r="J136" s="4" t="n"/>
      <c r="K136" s="5" t="n"/>
      <c r="L136" s="5" t="n"/>
    </row>
    <row r="137">
      <c r="A137" s="10">
        <f>IF(B137&lt;&gt;"","FND-"&amp;TEXT(ROW()-8,"000"),"")</f>
        <v/>
      </c>
      <c r="B137" s="4" t="n"/>
      <c r="C137" s="5" t="n"/>
      <c r="D137" s="5" t="n"/>
      <c r="E137" s="5" t="n"/>
      <c r="F137" s="5" t="n"/>
      <c r="G137" s="5" t="n"/>
      <c r="H137" s="5" t="n"/>
      <c r="I137" s="5" t="n"/>
      <c r="J137" s="4" t="n"/>
      <c r="K137" s="5" t="n"/>
      <c r="L137" s="5" t="n"/>
    </row>
    <row r="138">
      <c r="A138" s="10">
        <f>IF(B138&lt;&gt;"","FND-"&amp;TEXT(ROW()-8,"000"),"")</f>
        <v/>
      </c>
      <c r="B138" s="4" t="n"/>
      <c r="C138" s="5" t="n"/>
      <c r="D138" s="5" t="n"/>
      <c r="E138" s="5" t="n"/>
      <c r="F138" s="5" t="n"/>
      <c r="G138" s="5" t="n"/>
      <c r="H138" s="5" t="n"/>
      <c r="I138" s="5" t="n"/>
      <c r="J138" s="4" t="n"/>
      <c r="K138" s="5" t="n"/>
      <c r="L138" s="5" t="n"/>
    </row>
    <row r="139">
      <c r="A139" s="10">
        <f>IF(B139&lt;&gt;"","FND-"&amp;TEXT(ROW()-8,"000"),"")</f>
        <v/>
      </c>
      <c r="B139" s="4" t="n"/>
      <c r="C139" s="5" t="n"/>
      <c r="D139" s="5" t="n"/>
      <c r="E139" s="5" t="n"/>
      <c r="F139" s="5" t="n"/>
      <c r="G139" s="5" t="n"/>
      <c r="H139" s="5" t="n"/>
      <c r="I139" s="5" t="n"/>
      <c r="J139" s="4" t="n"/>
      <c r="K139" s="5" t="n"/>
      <c r="L139" s="5" t="n"/>
    </row>
    <row r="140">
      <c r="A140" s="10">
        <f>IF(B140&lt;&gt;"","FND-"&amp;TEXT(ROW()-8,"000"),"")</f>
        <v/>
      </c>
      <c r="B140" s="4" t="n"/>
      <c r="C140" s="5" t="n"/>
      <c r="D140" s="5" t="n"/>
      <c r="E140" s="5" t="n"/>
      <c r="F140" s="5" t="n"/>
      <c r="G140" s="5" t="n"/>
      <c r="H140" s="5" t="n"/>
      <c r="I140" s="5" t="n"/>
      <c r="J140" s="4" t="n"/>
      <c r="K140" s="5" t="n"/>
      <c r="L140" s="5" t="n"/>
    </row>
    <row r="141">
      <c r="A141" s="10">
        <f>IF(B141&lt;&gt;"","FND-"&amp;TEXT(ROW()-8,"000"),"")</f>
        <v/>
      </c>
      <c r="B141" s="4" t="n"/>
      <c r="C141" s="5" t="n"/>
      <c r="D141" s="5" t="n"/>
      <c r="E141" s="5" t="n"/>
      <c r="F141" s="5" t="n"/>
      <c r="G141" s="5" t="n"/>
      <c r="H141" s="5" t="n"/>
      <c r="I141" s="5" t="n"/>
      <c r="J141" s="4" t="n"/>
      <c r="K141" s="5" t="n"/>
      <c r="L141" s="5" t="n"/>
    </row>
    <row r="142">
      <c r="A142" s="10">
        <f>IF(B142&lt;&gt;"","FND-"&amp;TEXT(ROW()-8,"000"),"")</f>
        <v/>
      </c>
      <c r="B142" s="4" t="n"/>
      <c r="C142" s="5" t="n"/>
      <c r="D142" s="5" t="n"/>
      <c r="E142" s="5" t="n"/>
      <c r="F142" s="5" t="n"/>
      <c r="G142" s="5" t="n"/>
      <c r="H142" s="5" t="n"/>
      <c r="I142" s="5" t="n"/>
      <c r="J142" s="4" t="n"/>
      <c r="K142" s="5" t="n"/>
      <c r="L142" s="5" t="n"/>
    </row>
    <row r="143">
      <c r="A143" s="10">
        <f>IF(B143&lt;&gt;"","FND-"&amp;TEXT(ROW()-8,"000"),"")</f>
        <v/>
      </c>
      <c r="B143" s="4" t="n"/>
      <c r="C143" s="5" t="n"/>
      <c r="D143" s="5" t="n"/>
      <c r="E143" s="5" t="n"/>
      <c r="F143" s="5" t="n"/>
      <c r="G143" s="5" t="n"/>
      <c r="H143" s="5" t="n"/>
      <c r="I143" s="5" t="n"/>
      <c r="J143" s="4" t="n"/>
      <c r="K143" s="5" t="n"/>
      <c r="L143" s="5" t="n"/>
    </row>
    <row r="144">
      <c r="A144" s="10">
        <f>IF(B144&lt;&gt;"","FND-"&amp;TEXT(ROW()-8,"000"),"")</f>
        <v/>
      </c>
      <c r="B144" s="4" t="n"/>
      <c r="C144" s="5" t="n"/>
      <c r="D144" s="5" t="n"/>
      <c r="E144" s="5" t="n"/>
      <c r="F144" s="5" t="n"/>
      <c r="G144" s="5" t="n"/>
      <c r="H144" s="5" t="n"/>
      <c r="I144" s="5" t="n"/>
      <c r="J144" s="4" t="n"/>
      <c r="K144" s="5" t="n"/>
      <c r="L144" s="5" t="n"/>
    </row>
    <row r="145">
      <c r="A145" s="10">
        <f>IF(B145&lt;&gt;"","FND-"&amp;TEXT(ROW()-8,"000"),"")</f>
        <v/>
      </c>
      <c r="B145" s="4" t="n"/>
      <c r="C145" s="5" t="n"/>
      <c r="D145" s="5" t="n"/>
      <c r="E145" s="5" t="n"/>
      <c r="F145" s="5" t="n"/>
      <c r="G145" s="5" t="n"/>
      <c r="H145" s="5" t="n"/>
      <c r="I145" s="5" t="n"/>
      <c r="J145" s="4" t="n"/>
      <c r="K145" s="5" t="n"/>
      <c r="L145" s="5" t="n"/>
    </row>
    <row r="146">
      <c r="A146" s="10">
        <f>IF(B146&lt;&gt;"","FND-"&amp;TEXT(ROW()-8,"000"),"")</f>
        <v/>
      </c>
      <c r="B146" s="4" t="n"/>
      <c r="C146" s="5" t="n"/>
      <c r="D146" s="5" t="n"/>
      <c r="E146" s="5" t="n"/>
      <c r="F146" s="5" t="n"/>
      <c r="G146" s="5" t="n"/>
      <c r="H146" s="5" t="n"/>
      <c r="I146" s="5" t="n"/>
      <c r="J146" s="4" t="n"/>
      <c r="K146" s="5" t="n"/>
      <c r="L146" s="5" t="n"/>
    </row>
    <row r="147">
      <c r="A147" s="10">
        <f>IF(B147&lt;&gt;"","FND-"&amp;TEXT(ROW()-8,"000"),"")</f>
        <v/>
      </c>
      <c r="B147" s="4" t="n"/>
      <c r="C147" s="5" t="n"/>
      <c r="D147" s="5" t="n"/>
      <c r="E147" s="5" t="n"/>
      <c r="F147" s="5" t="n"/>
      <c r="G147" s="5" t="n"/>
      <c r="H147" s="5" t="n"/>
      <c r="I147" s="5" t="n"/>
      <c r="J147" s="4" t="n"/>
      <c r="K147" s="5" t="n"/>
      <c r="L147" s="5" t="n"/>
    </row>
    <row r="148">
      <c r="A148" s="10">
        <f>IF(B148&lt;&gt;"","FND-"&amp;TEXT(ROW()-8,"000"),"")</f>
        <v/>
      </c>
      <c r="B148" s="4" t="n"/>
      <c r="C148" s="5" t="n"/>
      <c r="D148" s="5" t="n"/>
      <c r="E148" s="5" t="n"/>
      <c r="F148" s="5" t="n"/>
      <c r="G148" s="5" t="n"/>
      <c r="H148" s="5" t="n"/>
      <c r="I148" s="5" t="n"/>
      <c r="J148" s="4" t="n"/>
      <c r="K148" s="5" t="n"/>
      <c r="L148" s="5" t="n"/>
    </row>
    <row r="149">
      <c r="A149" s="10">
        <f>IF(B149&lt;&gt;"","FND-"&amp;TEXT(ROW()-8,"000"),"")</f>
        <v/>
      </c>
      <c r="B149" s="4" t="n"/>
      <c r="C149" s="5" t="n"/>
      <c r="D149" s="5" t="n"/>
      <c r="E149" s="5" t="n"/>
      <c r="F149" s="5" t="n"/>
      <c r="G149" s="5" t="n"/>
      <c r="H149" s="5" t="n"/>
      <c r="I149" s="5" t="n"/>
      <c r="J149" s="4" t="n"/>
      <c r="K149" s="5" t="n"/>
      <c r="L149" s="5" t="n"/>
    </row>
    <row r="150">
      <c r="A150" s="10">
        <f>IF(B150&lt;&gt;"","FND-"&amp;TEXT(ROW()-8,"000"),"")</f>
        <v/>
      </c>
      <c r="B150" s="4" t="n"/>
      <c r="C150" s="5" t="n"/>
      <c r="D150" s="5" t="n"/>
      <c r="E150" s="5" t="n"/>
      <c r="F150" s="5" t="n"/>
      <c r="G150" s="5" t="n"/>
      <c r="H150" s="5" t="n"/>
      <c r="I150" s="5" t="n"/>
      <c r="J150" s="4" t="n"/>
      <c r="K150" s="5" t="n"/>
      <c r="L150" s="5" t="n"/>
    </row>
    <row r="151">
      <c r="A151" s="10">
        <f>IF(B151&lt;&gt;"","FND-"&amp;TEXT(ROW()-8,"000"),"")</f>
        <v/>
      </c>
      <c r="B151" s="4" t="n"/>
      <c r="C151" s="5" t="n"/>
      <c r="D151" s="5" t="n"/>
      <c r="E151" s="5" t="n"/>
      <c r="F151" s="5" t="n"/>
      <c r="G151" s="5" t="n"/>
      <c r="H151" s="5" t="n"/>
      <c r="I151" s="5" t="n"/>
      <c r="J151" s="4" t="n"/>
      <c r="K151" s="5" t="n"/>
      <c r="L151" s="5" t="n"/>
    </row>
    <row r="152">
      <c r="A152" s="10">
        <f>IF(B152&lt;&gt;"","FND-"&amp;TEXT(ROW()-8,"000"),"")</f>
        <v/>
      </c>
      <c r="B152" s="4" t="n"/>
      <c r="C152" s="5" t="n"/>
      <c r="D152" s="5" t="n"/>
      <c r="E152" s="5" t="n"/>
      <c r="F152" s="5" t="n"/>
      <c r="G152" s="5" t="n"/>
      <c r="H152" s="5" t="n"/>
      <c r="I152" s="5" t="n"/>
      <c r="J152" s="4" t="n"/>
      <c r="K152" s="5" t="n"/>
      <c r="L152" s="5" t="n"/>
    </row>
    <row r="153">
      <c r="A153" s="10">
        <f>IF(B153&lt;&gt;"","FND-"&amp;TEXT(ROW()-8,"000"),"")</f>
        <v/>
      </c>
      <c r="B153" s="4" t="n"/>
      <c r="C153" s="5" t="n"/>
      <c r="D153" s="5" t="n"/>
      <c r="E153" s="5" t="n"/>
      <c r="F153" s="5" t="n"/>
      <c r="G153" s="5" t="n"/>
      <c r="H153" s="5" t="n"/>
      <c r="I153" s="5" t="n"/>
      <c r="J153" s="4" t="n"/>
      <c r="K153" s="5" t="n"/>
      <c r="L153" s="5" t="n"/>
    </row>
    <row r="154">
      <c r="A154" s="10">
        <f>IF(B154&lt;&gt;"","FND-"&amp;TEXT(ROW()-8,"000"),"")</f>
        <v/>
      </c>
      <c r="B154" s="4" t="n"/>
      <c r="C154" s="5" t="n"/>
      <c r="D154" s="5" t="n"/>
      <c r="E154" s="5" t="n"/>
      <c r="F154" s="5" t="n"/>
      <c r="G154" s="5" t="n"/>
      <c r="H154" s="5" t="n"/>
      <c r="I154" s="5" t="n"/>
      <c r="J154" s="4" t="n"/>
      <c r="K154" s="5" t="n"/>
      <c r="L154" s="5" t="n"/>
    </row>
    <row r="155">
      <c r="A155" s="10">
        <f>IF(B155&lt;&gt;"","FND-"&amp;TEXT(ROW()-8,"000"),"")</f>
        <v/>
      </c>
      <c r="B155" s="4" t="n"/>
      <c r="C155" s="5" t="n"/>
      <c r="D155" s="5" t="n"/>
      <c r="E155" s="5" t="n"/>
      <c r="F155" s="5" t="n"/>
      <c r="G155" s="5" t="n"/>
      <c r="H155" s="5" t="n"/>
      <c r="I155" s="5" t="n"/>
      <c r="J155" s="4" t="n"/>
      <c r="K155" s="5" t="n"/>
      <c r="L155" s="5" t="n"/>
    </row>
    <row r="156">
      <c r="A156" s="10">
        <f>IF(B156&lt;&gt;"","FND-"&amp;TEXT(ROW()-8,"000"),"")</f>
        <v/>
      </c>
      <c r="B156" s="4" t="n"/>
      <c r="C156" s="5" t="n"/>
      <c r="D156" s="5" t="n"/>
      <c r="E156" s="5" t="n"/>
      <c r="F156" s="5" t="n"/>
      <c r="G156" s="5" t="n"/>
      <c r="H156" s="5" t="n"/>
      <c r="I156" s="5" t="n"/>
      <c r="J156" s="4" t="n"/>
      <c r="K156" s="5" t="n"/>
      <c r="L156" s="5" t="n"/>
    </row>
    <row r="157">
      <c r="A157" s="10">
        <f>IF(B157&lt;&gt;"","FND-"&amp;TEXT(ROW()-8,"000"),"")</f>
        <v/>
      </c>
      <c r="B157" s="4" t="n"/>
      <c r="C157" s="5" t="n"/>
      <c r="D157" s="5" t="n"/>
      <c r="E157" s="5" t="n"/>
      <c r="F157" s="5" t="n"/>
      <c r="G157" s="5" t="n"/>
      <c r="H157" s="5" t="n"/>
      <c r="I157" s="5" t="n"/>
      <c r="J157" s="4" t="n"/>
      <c r="K157" s="5" t="n"/>
      <c r="L157" s="5" t="n"/>
    </row>
    <row r="158">
      <c r="A158" s="10">
        <f>IF(B158&lt;&gt;"","FND-"&amp;TEXT(ROW()-8,"000"),"")</f>
        <v/>
      </c>
      <c r="B158" s="4" t="n"/>
      <c r="C158" s="5" t="n"/>
      <c r="D158" s="5" t="n"/>
      <c r="E158" s="5" t="n"/>
      <c r="F158" s="5" t="n"/>
      <c r="G158" s="5" t="n"/>
      <c r="H158" s="5" t="n"/>
      <c r="I158" s="5" t="n"/>
      <c r="J158" s="4" t="n"/>
      <c r="K158" s="5" t="n"/>
      <c r="L158" s="5" t="n"/>
    </row>
    <row r="159">
      <c r="A159" s="10">
        <f>IF(B159&lt;&gt;"","FND-"&amp;TEXT(ROW()-8,"000"),"")</f>
        <v/>
      </c>
      <c r="B159" s="4" t="n"/>
      <c r="C159" s="5" t="n"/>
      <c r="D159" s="5" t="n"/>
      <c r="E159" s="5" t="n"/>
      <c r="F159" s="5" t="n"/>
      <c r="G159" s="5" t="n"/>
      <c r="H159" s="5" t="n"/>
      <c r="I159" s="5" t="n"/>
      <c r="J159" s="4" t="n"/>
      <c r="K159" s="5" t="n"/>
      <c r="L159" s="5" t="n"/>
    </row>
    <row r="160">
      <c r="A160" s="10">
        <f>IF(B160&lt;&gt;"","FND-"&amp;TEXT(ROW()-8,"000"),"")</f>
        <v/>
      </c>
      <c r="B160" s="4" t="n"/>
      <c r="C160" s="5" t="n"/>
      <c r="D160" s="5" t="n"/>
      <c r="E160" s="5" t="n"/>
      <c r="F160" s="5" t="n"/>
      <c r="G160" s="5" t="n"/>
      <c r="H160" s="5" t="n"/>
      <c r="I160" s="5" t="n"/>
      <c r="J160" s="4" t="n"/>
      <c r="K160" s="5" t="n"/>
      <c r="L160" s="5" t="n"/>
    </row>
    <row r="161">
      <c r="A161" s="10">
        <f>IF(B161&lt;&gt;"","FND-"&amp;TEXT(ROW()-8,"000"),"")</f>
        <v/>
      </c>
      <c r="B161" s="4" t="n"/>
      <c r="C161" s="5" t="n"/>
      <c r="D161" s="5" t="n"/>
      <c r="E161" s="5" t="n"/>
      <c r="F161" s="5" t="n"/>
      <c r="G161" s="5" t="n"/>
      <c r="H161" s="5" t="n"/>
      <c r="I161" s="5" t="n"/>
      <c r="J161" s="4" t="n"/>
      <c r="K161" s="5" t="n"/>
      <c r="L161" s="5" t="n"/>
    </row>
    <row r="162">
      <c r="A162" s="10">
        <f>IF(B162&lt;&gt;"","FND-"&amp;TEXT(ROW()-8,"000"),"")</f>
        <v/>
      </c>
      <c r="B162" s="4" t="n"/>
      <c r="C162" s="5" t="n"/>
      <c r="D162" s="5" t="n"/>
      <c r="E162" s="5" t="n"/>
      <c r="F162" s="5" t="n"/>
      <c r="G162" s="5" t="n"/>
      <c r="H162" s="5" t="n"/>
      <c r="I162" s="5" t="n"/>
      <c r="J162" s="4" t="n"/>
      <c r="K162" s="5" t="n"/>
      <c r="L162" s="5" t="n"/>
    </row>
    <row r="163">
      <c r="A163" s="10">
        <f>IF(B163&lt;&gt;"","FND-"&amp;TEXT(ROW()-8,"000"),"")</f>
        <v/>
      </c>
      <c r="B163" s="4" t="n"/>
      <c r="C163" s="5" t="n"/>
      <c r="D163" s="5" t="n"/>
      <c r="E163" s="5" t="n"/>
      <c r="F163" s="5" t="n"/>
      <c r="G163" s="5" t="n"/>
      <c r="H163" s="5" t="n"/>
      <c r="I163" s="5" t="n"/>
      <c r="J163" s="4" t="n"/>
      <c r="K163" s="5" t="n"/>
      <c r="L163" s="5" t="n"/>
    </row>
    <row r="164">
      <c r="A164" s="10">
        <f>IF(B164&lt;&gt;"","FND-"&amp;TEXT(ROW()-8,"000"),"")</f>
        <v/>
      </c>
      <c r="B164" s="4" t="n"/>
      <c r="C164" s="5" t="n"/>
      <c r="D164" s="5" t="n"/>
      <c r="E164" s="5" t="n"/>
      <c r="F164" s="5" t="n"/>
      <c r="G164" s="5" t="n"/>
      <c r="H164" s="5" t="n"/>
      <c r="I164" s="5" t="n"/>
      <c r="J164" s="4" t="n"/>
      <c r="K164" s="5" t="n"/>
      <c r="L164" s="5" t="n"/>
    </row>
    <row r="165">
      <c r="A165" s="10">
        <f>IF(B165&lt;&gt;"","FND-"&amp;TEXT(ROW()-8,"000"),"")</f>
        <v/>
      </c>
      <c r="B165" s="4" t="n"/>
      <c r="C165" s="5" t="n"/>
      <c r="D165" s="5" t="n"/>
      <c r="E165" s="5" t="n"/>
      <c r="F165" s="5" t="n"/>
      <c r="G165" s="5" t="n"/>
      <c r="H165" s="5" t="n"/>
      <c r="I165" s="5" t="n"/>
      <c r="J165" s="4" t="n"/>
      <c r="K165" s="5" t="n"/>
      <c r="L165" s="5" t="n"/>
    </row>
    <row r="166">
      <c r="A166" s="10">
        <f>IF(B166&lt;&gt;"","FND-"&amp;TEXT(ROW()-8,"000"),"")</f>
        <v/>
      </c>
      <c r="B166" s="4" t="n"/>
      <c r="C166" s="5" t="n"/>
      <c r="D166" s="5" t="n"/>
      <c r="E166" s="5" t="n"/>
      <c r="F166" s="5" t="n"/>
      <c r="G166" s="5" t="n"/>
      <c r="H166" s="5" t="n"/>
      <c r="I166" s="5" t="n"/>
      <c r="J166" s="4" t="n"/>
      <c r="K166" s="5" t="n"/>
      <c r="L166" s="5" t="n"/>
    </row>
    <row r="167">
      <c r="A167" s="10">
        <f>IF(B167&lt;&gt;"","FND-"&amp;TEXT(ROW()-8,"000"),"")</f>
        <v/>
      </c>
      <c r="B167" s="4" t="n"/>
      <c r="C167" s="5" t="n"/>
      <c r="D167" s="5" t="n"/>
      <c r="E167" s="5" t="n"/>
      <c r="F167" s="5" t="n"/>
      <c r="G167" s="5" t="n"/>
      <c r="H167" s="5" t="n"/>
      <c r="I167" s="5" t="n"/>
      <c r="J167" s="4" t="n"/>
      <c r="K167" s="5" t="n"/>
      <c r="L167" s="5" t="n"/>
    </row>
    <row r="168">
      <c r="A168" s="10">
        <f>IF(B168&lt;&gt;"","FND-"&amp;TEXT(ROW()-8,"000"),"")</f>
        <v/>
      </c>
      <c r="B168" s="4" t="n"/>
      <c r="C168" s="5" t="n"/>
      <c r="D168" s="5" t="n"/>
      <c r="E168" s="5" t="n"/>
      <c r="F168" s="5" t="n"/>
      <c r="G168" s="5" t="n"/>
      <c r="H168" s="5" t="n"/>
      <c r="I168" s="5" t="n"/>
      <c r="J168" s="4" t="n"/>
      <c r="K168" s="5" t="n"/>
      <c r="L168" s="5" t="n"/>
    </row>
    <row r="169">
      <c r="A169" s="10">
        <f>IF(B169&lt;&gt;"","FND-"&amp;TEXT(ROW()-8,"000"),"")</f>
        <v/>
      </c>
      <c r="B169" s="4" t="n"/>
      <c r="C169" s="5" t="n"/>
      <c r="D169" s="5" t="n"/>
      <c r="E169" s="5" t="n"/>
      <c r="F169" s="5" t="n"/>
      <c r="G169" s="5" t="n"/>
      <c r="H169" s="5" t="n"/>
      <c r="I169" s="5" t="n"/>
      <c r="J169" s="4" t="n"/>
      <c r="K169" s="5" t="n"/>
      <c r="L169" s="5" t="n"/>
    </row>
    <row r="170">
      <c r="A170" s="10">
        <f>IF(B170&lt;&gt;"","FND-"&amp;TEXT(ROW()-8,"000"),"")</f>
        <v/>
      </c>
      <c r="B170" s="4" t="n"/>
      <c r="C170" s="5" t="n"/>
      <c r="D170" s="5" t="n"/>
      <c r="E170" s="5" t="n"/>
      <c r="F170" s="5" t="n"/>
      <c r="G170" s="5" t="n"/>
      <c r="H170" s="5" t="n"/>
      <c r="I170" s="5" t="n"/>
      <c r="J170" s="4" t="n"/>
      <c r="K170" s="5" t="n"/>
      <c r="L170" s="5" t="n"/>
    </row>
    <row r="171">
      <c r="A171" s="10">
        <f>IF(B171&lt;&gt;"","FND-"&amp;TEXT(ROW()-8,"000"),"")</f>
        <v/>
      </c>
      <c r="B171" s="4" t="n"/>
      <c r="C171" s="5" t="n"/>
      <c r="D171" s="5" t="n"/>
      <c r="E171" s="5" t="n"/>
      <c r="F171" s="5" t="n"/>
      <c r="G171" s="5" t="n"/>
      <c r="H171" s="5" t="n"/>
      <c r="I171" s="5" t="n"/>
      <c r="J171" s="4" t="n"/>
      <c r="K171" s="5" t="n"/>
      <c r="L171" s="5" t="n"/>
    </row>
    <row r="172">
      <c r="A172" s="10">
        <f>IF(B172&lt;&gt;"","FND-"&amp;TEXT(ROW()-8,"000"),"")</f>
        <v/>
      </c>
      <c r="B172" s="4" t="n"/>
      <c r="C172" s="5" t="n"/>
      <c r="D172" s="5" t="n"/>
      <c r="E172" s="5" t="n"/>
      <c r="F172" s="5" t="n"/>
      <c r="G172" s="5" t="n"/>
      <c r="H172" s="5" t="n"/>
      <c r="I172" s="5" t="n"/>
      <c r="J172" s="4" t="n"/>
      <c r="K172" s="5" t="n"/>
      <c r="L172" s="5" t="n"/>
    </row>
    <row r="173">
      <c r="A173" s="10">
        <f>IF(B173&lt;&gt;"","FND-"&amp;TEXT(ROW()-8,"000"),"")</f>
        <v/>
      </c>
      <c r="B173" s="4" t="n"/>
      <c r="C173" s="5" t="n"/>
      <c r="D173" s="5" t="n"/>
      <c r="E173" s="5" t="n"/>
      <c r="F173" s="5" t="n"/>
      <c r="G173" s="5" t="n"/>
      <c r="H173" s="5" t="n"/>
      <c r="I173" s="5" t="n"/>
      <c r="J173" s="4" t="n"/>
      <c r="K173" s="5" t="n"/>
      <c r="L173" s="5" t="n"/>
    </row>
    <row r="174">
      <c r="A174" s="10">
        <f>IF(B174&lt;&gt;"","FND-"&amp;TEXT(ROW()-8,"000"),"")</f>
        <v/>
      </c>
      <c r="B174" s="4" t="n"/>
      <c r="C174" s="5" t="n"/>
      <c r="D174" s="5" t="n"/>
      <c r="E174" s="5" t="n"/>
      <c r="F174" s="5" t="n"/>
      <c r="G174" s="5" t="n"/>
      <c r="H174" s="5" t="n"/>
      <c r="I174" s="5" t="n"/>
      <c r="J174" s="4" t="n"/>
      <c r="K174" s="5" t="n"/>
      <c r="L174" s="5" t="n"/>
    </row>
    <row r="175">
      <c r="A175" s="10">
        <f>IF(B175&lt;&gt;"","FND-"&amp;TEXT(ROW()-8,"000"),"")</f>
        <v/>
      </c>
      <c r="B175" s="4" t="n"/>
      <c r="C175" s="5" t="n"/>
      <c r="D175" s="5" t="n"/>
      <c r="E175" s="5" t="n"/>
      <c r="F175" s="5" t="n"/>
      <c r="G175" s="5" t="n"/>
      <c r="H175" s="5" t="n"/>
      <c r="I175" s="5" t="n"/>
      <c r="J175" s="4" t="n"/>
      <c r="K175" s="5" t="n"/>
      <c r="L175" s="5" t="n"/>
    </row>
    <row r="176">
      <c r="A176" s="10">
        <f>IF(B176&lt;&gt;"","FND-"&amp;TEXT(ROW()-8,"000"),"")</f>
        <v/>
      </c>
      <c r="B176" s="4" t="n"/>
      <c r="C176" s="5" t="n"/>
      <c r="D176" s="5" t="n"/>
      <c r="E176" s="5" t="n"/>
      <c r="F176" s="5" t="n"/>
      <c r="G176" s="5" t="n"/>
      <c r="H176" s="5" t="n"/>
      <c r="I176" s="5" t="n"/>
      <c r="J176" s="4" t="n"/>
      <c r="K176" s="5" t="n"/>
      <c r="L176" s="5" t="n"/>
    </row>
    <row r="177">
      <c r="A177" s="10">
        <f>IF(B177&lt;&gt;"","FND-"&amp;TEXT(ROW()-8,"000"),"")</f>
        <v/>
      </c>
      <c r="B177" s="4" t="n"/>
      <c r="C177" s="5" t="n"/>
      <c r="D177" s="5" t="n"/>
      <c r="E177" s="5" t="n"/>
      <c r="F177" s="5" t="n"/>
      <c r="G177" s="5" t="n"/>
      <c r="H177" s="5" t="n"/>
      <c r="I177" s="5" t="n"/>
      <c r="J177" s="4" t="n"/>
      <c r="K177" s="5" t="n"/>
      <c r="L177" s="5" t="n"/>
    </row>
    <row r="178">
      <c r="A178" s="10">
        <f>IF(B178&lt;&gt;"","FND-"&amp;TEXT(ROW()-8,"000"),"")</f>
        <v/>
      </c>
      <c r="B178" s="4" t="n"/>
      <c r="C178" s="5" t="n"/>
      <c r="D178" s="5" t="n"/>
      <c r="E178" s="5" t="n"/>
      <c r="F178" s="5" t="n"/>
      <c r="G178" s="5" t="n"/>
      <c r="H178" s="5" t="n"/>
      <c r="I178" s="5" t="n"/>
      <c r="J178" s="4" t="n"/>
      <c r="K178" s="5" t="n"/>
      <c r="L178" s="5" t="n"/>
    </row>
    <row r="179">
      <c r="A179" s="10">
        <f>IF(B179&lt;&gt;"","FND-"&amp;TEXT(ROW()-8,"000"),"")</f>
        <v/>
      </c>
      <c r="B179" s="4" t="n"/>
      <c r="C179" s="5" t="n"/>
      <c r="D179" s="5" t="n"/>
      <c r="E179" s="5" t="n"/>
      <c r="F179" s="5" t="n"/>
      <c r="G179" s="5" t="n"/>
      <c r="H179" s="5" t="n"/>
      <c r="I179" s="5" t="n"/>
      <c r="J179" s="4" t="n"/>
      <c r="K179" s="5" t="n"/>
      <c r="L179" s="5" t="n"/>
    </row>
    <row r="180">
      <c r="A180" s="10">
        <f>IF(B180&lt;&gt;"","FND-"&amp;TEXT(ROW()-8,"000"),"")</f>
        <v/>
      </c>
      <c r="B180" s="4" t="n"/>
      <c r="C180" s="5" t="n"/>
      <c r="D180" s="5" t="n"/>
      <c r="E180" s="5" t="n"/>
      <c r="F180" s="5" t="n"/>
      <c r="G180" s="5" t="n"/>
      <c r="H180" s="5" t="n"/>
      <c r="I180" s="5" t="n"/>
      <c r="J180" s="4" t="n"/>
      <c r="K180" s="5" t="n"/>
      <c r="L180" s="5" t="n"/>
    </row>
    <row r="181">
      <c r="A181" s="10">
        <f>IF(B181&lt;&gt;"","FND-"&amp;TEXT(ROW()-8,"000"),"")</f>
        <v/>
      </c>
      <c r="B181" s="4" t="n"/>
      <c r="C181" s="5" t="n"/>
      <c r="D181" s="5" t="n"/>
      <c r="E181" s="5" t="n"/>
      <c r="F181" s="5" t="n"/>
      <c r="G181" s="5" t="n"/>
      <c r="H181" s="5" t="n"/>
      <c r="I181" s="5" t="n"/>
      <c r="J181" s="4" t="n"/>
      <c r="K181" s="5" t="n"/>
      <c r="L181" s="5" t="n"/>
    </row>
    <row r="182">
      <c r="A182" s="10">
        <f>IF(B182&lt;&gt;"","FND-"&amp;TEXT(ROW()-8,"000"),"")</f>
        <v/>
      </c>
      <c r="B182" s="4" t="n"/>
      <c r="C182" s="5" t="n"/>
      <c r="D182" s="5" t="n"/>
      <c r="E182" s="5" t="n"/>
      <c r="F182" s="5" t="n"/>
      <c r="G182" s="5" t="n"/>
      <c r="H182" s="5" t="n"/>
      <c r="I182" s="5" t="n"/>
      <c r="J182" s="4" t="n"/>
      <c r="K182" s="5" t="n"/>
      <c r="L182" s="5" t="n"/>
    </row>
    <row r="183">
      <c r="A183" s="10">
        <f>IF(B183&lt;&gt;"","FND-"&amp;TEXT(ROW()-8,"000"),"")</f>
        <v/>
      </c>
      <c r="B183" s="4" t="n"/>
      <c r="C183" s="5" t="n"/>
      <c r="D183" s="5" t="n"/>
      <c r="E183" s="5" t="n"/>
      <c r="F183" s="5" t="n"/>
      <c r="G183" s="5" t="n"/>
      <c r="H183" s="5" t="n"/>
      <c r="I183" s="5" t="n"/>
      <c r="J183" s="4" t="n"/>
      <c r="K183" s="5" t="n"/>
      <c r="L183" s="5" t="n"/>
    </row>
    <row r="184">
      <c r="A184" s="10">
        <f>IF(B184&lt;&gt;"","FND-"&amp;TEXT(ROW()-8,"000"),"")</f>
        <v/>
      </c>
      <c r="B184" s="4" t="n"/>
      <c r="C184" s="5" t="n"/>
      <c r="D184" s="5" t="n"/>
      <c r="E184" s="5" t="n"/>
      <c r="F184" s="5" t="n"/>
      <c r="G184" s="5" t="n"/>
      <c r="H184" s="5" t="n"/>
      <c r="I184" s="5" t="n"/>
      <c r="J184" s="4" t="n"/>
      <c r="K184" s="5" t="n"/>
      <c r="L184" s="5" t="n"/>
    </row>
    <row r="185">
      <c r="A185" s="10">
        <f>IF(B185&lt;&gt;"","FND-"&amp;TEXT(ROW()-8,"000"),"")</f>
        <v/>
      </c>
      <c r="B185" s="4" t="n"/>
      <c r="C185" s="5" t="n"/>
      <c r="D185" s="5" t="n"/>
      <c r="E185" s="5" t="n"/>
      <c r="F185" s="5" t="n"/>
      <c r="G185" s="5" t="n"/>
      <c r="H185" s="5" t="n"/>
      <c r="I185" s="5" t="n"/>
      <c r="J185" s="4" t="n"/>
      <c r="K185" s="5" t="n"/>
      <c r="L185" s="5" t="n"/>
    </row>
    <row r="186">
      <c r="A186" s="10">
        <f>IF(B186&lt;&gt;"","FND-"&amp;TEXT(ROW()-8,"000"),"")</f>
        <v/>
      </c>
      <c r="B186" s="4" t="n"/>
      <c r="C186" s="5" t="n"/>
      <c r="D186" s="5" t="n"/>
      <c r="E186" s="5" t="n"/>
      <c r="F186" s="5" t="n"/>
      <c r="G186" s="5" t="n"/>
      <c r="H186" s="5" t="n"/>
      <c r="I186" s="5" t="n"/>
      <c r="J186" s="4" t="n"/>
      <c r="K186" s="5" t="n"/>
      <c r="L186" s="5" t="n"/>
    </row>
    <row r="187">
      <c r="A187" s="10">
        <f>IF(B187&lt;&gt;"","FND-"&amp;TEXT(ROW()-8,"000"),"")</f>
        <v/>
      </c>
      <c r="B187" s="4" t="n"/>
      <c r="C187" s="5" t="n"/>
      <c r="D187" s="5" t="n"/>
      <c r="E187" s="5" t="n"/>
      <c r="F187" s="5" t="n"/>
      <c r="G187" s="5" t="n"/>
      <c r="H187" s="5" t="n"/>
      <c r="I187" s="5" t="n"/>
      <c r="J187" s="4" t="n"/>
      <c r="K187" s="5" t="n"/>
      <c r="L187" s="5" t="n"/>
    </row>
    <row r="188">
      <c r="A188" s="10">
        <f>IF(B188&lt;&gt;"","FND-"&amp;TEXT(ROW()-8,"000"),"")</f>
        <v/>
      </c>
      <c r="B188" s="4" t="n"/>
      <c r="C188" s="5" t="n"/>
      <c r="D188" s="5" t="n"/>
      <c r="E188" s="5" t="n"/>
      <c r="F188" s="5" t="n"/>
      <c r="G188" s="5" t="n"/>
      <c r="H188" s="5" t="n"/>
      <c r="I188" s="5" t="n"/>
      <c r="J188" s="4" t="n"/>
      <c r="K188" s="5" t="n"/>
      <c r="L188" s="5" t="n"/>
    </row>
    <row r="189">
      <c r="A189" s="10">
        <f>IF(B189&lt;&gt;"","FND-"&amp;TEXT(ROW()-8,"000"),"")</f>
        <v/>
      </c>
      <c r="B189" s="4" t="n"/>
      <c r="C189" s="5" t="n"/>
      <c r="D189" s="5" t="n"/>
      <c r="E189" s="5" t="n"/>
      <c r="F189" s="5" t="n"/>
      <c r="G189" s="5" t="n"/>
      <c r="H189" s="5" t="n"/>
      <c r="I189" s="5" t="n"/>
      <c r="J189" s="4" t="n"/>
      <c r="K189" s="5" t="n"/>
      <c r="L189" s="5" t="n"/>
    </row>
    <row r="190">
      <c r="A190" s="10">
        <f>IF(B190&lt;&gt;"","FND-"&amp;TEXT(ROW()-8,"000"),"")</f>
        <v/>
      </c>
      <c r="B190" s="4" t="n"/>
      <c r="C190" s="5" t="n"/>
      <c r="D190" s="5" t="n"/>
      <c r="E190" s="5" t="n"/>
      <c r="F190" s="5" t="n"/>
      <c r="G190" s="5" t="n"/>
      <c r="H190" s="5" t="n"/>
      <c r="I190" s="5" t="n"/>
      <c r="J190" s="4" t="n"/>
      <c r="K190" s="5" t="n"/>
      <c r="L190" s="5" t="n"/>
    </row>
    <row r="191">
      <c r="A191" s="10">
        <f>IF(B191&lt;&gt;"","FND-"&amp;TEXT(ROW()-8,"000"),"")</f>
        <v/>
      </c>
      <c r="B191" s="4" t="n"/>
      <c r="C191" s="5" t="n"/>
      <c r="D191" s="5" t="n"/>
      <c r="E191" s="5" t="n"/>
      <c r="F191" s="5" t="n"/>
      <c r="G191" s="5" t="n"/>
      <c r="H191" s="5" t="n"/>
      <c r="I191" s="5" t="n"/>
      <c r="J191" s="4" t="n"/>
      <c r="K191" s="5" t="n"/>
      <c r="L191" s="5" t="n"/>
    </row>
    <row r="192">
      <c r="A192" s="10">
        <f>IF(B192&lt;&gt;"","FND-"&amp;TEXT(ROW()-8,"000"),"")</f>
        <v/>
      </c>
      <c r="B192" s="4" t="n"/>
      <c r="C192" s="5" t="n"/>
      <c r="D192" s="5" t="n"/>
      <c r="E192" s="5" t="n"/>
      <c r="F192" s="5" t="n"/>
      <c r="G192" s="5" t="n"/>
      <c r="H192" s="5" t="n"/>
      <c r="I192" s="5" t="n"/>
      <c r="J192" s="4" t="n"/>
      <c r="K192" s="5" t="n"/>
      <c r="L192" s="5" t="n"/>
    </row>
    <row r="193">
      <c r="A193" s="10">
        <f>IF(B193&lt;&gt;"","FND-"&amp;TEXT(ROW()-8,"000"),"")</f>
        <v/>
      </c>
      <c r="B193" s="4" t="n"/>
      <c r="C193" s="5" t="n"/>
      <c r="D193" s="5" t="n"/>
      <c r="E193" s="5" t="n"/>
      <c r="F193" s="5" t="n"/>
      <c r="G193" s="5" t="n"/>
      <c r="H193" s="5" t="n"/>
      <c r="I193" s="5" t="n"/>
      <c r="J193" s="4" t="n"/>
      <c r="K193" s="5" t="n"/>
      <c r="L193" s="5" t="n"/>
    </row>
    <row r="194">
      <c r="A194" s="10">
        <f>IF(B194&lt;&gt;"","FND-"&amp;TEXT(ROW()-8,"000"),"")</f>
        <v/>
      </c>
      <c r="B194" s="4" t="n"/>
      <c r="C194" s="5" t="n"/>
      <c r="D194" s="5" t="n"/>
      <c r="E194" s="5" t="n"/>
      <c r="F194" s="5" t="n"/>
      <c r="G194" s="5" t="n"/>
      <c r="H194" s="5" t="n"/>
      <c r="I194" s="5" t="n"/>
      <c r="J194" s="4" t="n"/>
      <c r="K194" s="5" t="n"/>
      <c r="L194" s="5" t="n"/>
    </row>
    <row r="195">
      <c r="A195" s="10">
        <f>IF(B195&lt;&gt;"","FND-"&amp;TEXT(ROW()-8,"000"),"")</f>
        <v/>
      </c>
      <c r="B195" s="4" t="n"/>
      <c r="C195" s="5" t="n"/>
      <c r="D195" s="5" t="n"/>
      <c r="E195" s="5" t="n"/>
      <c r="F195" s="5" t="n"/>
      <c r="G195" s="5" t="n"/>
      <c r="H195" s="5" t="n"/>
      <c r="I195" s="5" t="n"/>
      <c r="J195" s="4" t="n"/>
      <c r="K195" s="5" t="n"/>
      <c r="L195" s="5" t="n"/>
    </row>
    <row r="196">
      <c r="A196" s="10">
        <f>IF(B196&lt;&gt;"","FND-"&amp;TEXT(ROW()-8,"000"),"")</f>
        <v/>
      </c>
      <c r="B196" s="4" t="n"/>
      <c r="C196" s="5" t="n"/>
      <c r="D196" s="5" t="n"/>
      <c r="E196" s="5" t="n"/>
      <c r="F196" s="5" t="n"/>
      <c r="G196" s="5" t="n"/>
      <c r="H196" s="5" t="n"/>
      <c r="I196" s="5" t="n"/>
      <c r="J196" s="4" t="n"/>
      <c r="K196" s="5" t="n"/>
      <c r="L196" s="5" t="n"/>
    </row>
    <row r="197">
      <c r="A197" s="10">
        <f>IF(B197&lt;&gt;"","FND-"&amp;TEXT(ROW()-8,"000"),"")</f>
        <v/>
      </c>
      <c r="B197" s="4" t="n"/>
      <c r="C197" s="5" t="n"/>
      <c r="D197" s="5" t="n"/>
      <c r="E197" s="5" t="n"/>
      <c r="F197" s="5" t="n"/>
      <c r="G197" s="5" t="n"/>
      <c r="H197" s="5" t="n"/>
      <c r="I197" s="5" t="n"/>
      <c r="J197" s="4" t="n"/>
      <c r="K197" s="5" t="n"/>
      <c r="L197" s="5" t="n"/>
    </row>
    <row r="198">
      <c r="A198" s="10">
        <f>IF(B198&lt;&gt;"","FND-"&amp;TEXT(ROW()-8,"000"),"")</f>
        <v/>
      </c>
      <c r="B198" s="4" t="n"/>
      <c r="C198" s="5" t="n"/>
      <c r="D198" s="5" t="n"/>
      <c r="E198" s="5" t="n"/>
      <c r="F198" s="5" t="n"/>
      <c r="G198" s="5" t="n"/>
      <c r="H198" s="5" t="n"/>
      <c r="I198" s="5" t="n"/>
      <c r="J198" s="4" t="n"/>
      <c r="K198" s="5" t="n"/>
      <c r="L198" s="5" t="n"/>
    </row>
    <row r="199">
      <c r="A199" s="10">
        <f>IF(B199&lt;&gt;"","FND-"&amp;TEXT(ROW()-8,"000"),"")</f>
        <v/>
      </c>
      <c r="B199" s="4" t="n"/>
      <c r="C199" s="5" t="n"/>
      <c r="D199" s="5" t="n"/>
      <c r="E199" s="5" t="n"/>
      <c r="F199" s="5" t="n"/>
      <c r="G199" s="5" t="n"/>
      <c r="H199" s="5" t="n"/>
      <c r="I199" s="5" t="n"/>
      <c r="J199" s="4" t="n"/>
      <c r="K199" s="5" t="n"/>
      <c r="L199" s="5" t="n"/>
    </row>
    <row r="200">
      <c r="A200" s="10">
        <f>IF(B200&lt;&gt;"","FND-"&amp;TEXT(ROW()-8,"000"),"")</f>
        <v/>
      </c>
      <c r="B200" s="4" t="n"/>
      <c r="C200" s="5" t="n"/>
      <c r="D200" s="5" t="n"/>
      <c r="E200" s="5" t="n"/>
      <c r="F200" s="5" t="n"/>
      <c r="G200" s="5" t="n"/>
      <c r="H200" s="5" t="n"/>
      <c r="I200" s="5" t="n"/>
      <c r="J200" s="4" t="n"/>
      <c r="K200" s="5" t="n"/>
      <c r="L200" s="5" t="n"/>
    </row>
  </sheetData>
  <mergeCells count="2">
    <mergeCell ref="A2:L2"/>
    <mergeCell ref="A1:L1"/>
  </mergeCells>
  <dataValidations count="4">
    <dataValidation sqref="C9:C200" showDropDown="0" showInputMessage="0" showErrorMessage="0" allowBlank="1" type="list">
      <formula1>"Security Event Review,Compliance Review,Administrative Review,Access Review,Error Review"</formula1>
    </dataValidation>
    <dataValidation sqref="F9:F200" showDropDown="0" showInputMessage="0" showErrorMessage="0" allowBlank="1" type="list">
      <formula1>"Critical,High,Medium,Low,Informational"</formula1>
    </dataValidation>
    <dataValidation sqref="G9:G200" showDropDown="0" showInputMessage="0" showErrorMessage="0" allowBlank="1" type="list">
      <formula1>"Policy Violation,Security Event,Performance Issue,Configuration Error,Compliance Issue,Other"</formula1>
    </dataValidation>
    <dataValidation sqref="K9:K200" showDropDown="0" showInputMessage="0" showErrorMessage="0" allowBlank="1" type="list">
      <formula1>"New,In Progress,Resolved,Deferred"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40" customWidth="1" min="12" max="12"/>
  </cols>
  <sheetData>
    <row r="1" ht="40" customHeight="1">
      <c r="A1" s="1" t="inlineStr">
        <is>
          <t>CONTINUOUS MONITORING</t>
        </is>
      </c>
    </row>
    <row r="2" ht="30" customHeight="1">
      <c r="A2" s="6" t="inlineStr">
        <is>
          <t>Document continuous monitoring metrics and health indicators</t>
        </is>
      </c>
    </row>
    <row r="7" ht="35" customHeight="1">
      <c r="A7" s="8" t="inlineStr">
        <is>
          <t>Metric Date</t>
        </is>
      </c>
      <c r="B7" s="8" t="inlineStr">
        <is>
          <t>Total Events/Day</t>
        </is>
      </c>
      <c r="C7" s="8" t="inlineStr">
        <is>
          <t>Security Alerts Generated</t>
        </is>
      </c>
      <c r="D7" s="8" t="inlineStr">
        <is>
          <t>Alerts Investigated</t>
        </is>
      </c>
      <c r="E7" s="8" t="inlineStr">
        <is>
          <t>True Positives</t>
        </is>
      </c>
      <c r="F7" s="8" t="inlineStr">
        <is>
          <t>False Positives</t>
        </is>
      </c>
      <c r="G7" s="8" t="inlineStr">
        <is>
          <t>True Positive Rate %</t>
        </is>
      </c>
      <c r="H7" s="8" t="inlineStr">
        <is>
          <t>Avg MTTD (hours)</t>
        </is>
      </c>
      <c r="I7" s="8" t="inlineStr">
        <is>
          <t>Avg MTTR (hours)</t>
        </is>
      </c>
      <c r="J7" s="8" t="inlineStr">
        <is>
          <t>Critical Incidents</t>
        </is>
      </c>
      <c r="K7" s="8" t="inlineStr">
        <is>
          <t>Review Completion %</t>
        </is>
      </c>
      <c r="L7" s="8" t="inlineStr">
        <is>
          <t>Notes</t>
        </is>
      </c>
    </row>
    <row r="8">
      <c r="A8" s="9" t="inlineStr">
        <is>
          <t>06.01.2026</t>
        </is>
      </c>
      <c r="B8" s="9" t="inlineStr">
        <is>
          <t>25000000</t>
        </is>
      </c>
      <c r="C8" s="9" t="inlineStr">
        <is>
          <t>125</t>
        </is>
      </c>
      <c r="D8" s="9" t="inlineStr">
        <is>
          <t>125</t>
        </is>
      </c>
      <c r="E8" s="9" t="inlineStr">
        <is>
          <t>95</t>
        </is>
      </c>
      <c r="F8" s="9" t="inlineStr">
        <is>
          <t>30</t>
        </is>
      </c>
      <c r="G8" s="9" t="inlineStr">
        <is>
          <t>76%</t>
        </is>
      </c>
      <c r="H8" s="9" t="inlineStr">
        <is>
          <t>0.8</t>
        </is>
      </c>
      <c r="I8" s="9" t="inlineStr">
        <is>
          <t>3.2</t>
        </is>
      </c>
      <c r="J8" s="9" t="inlineStr">
        <is>
          <t>2</t>
        </is>
      </c>
      <c r="K8" s="9" t="inlineStr">
        <is>
          <t>98%</t>
        </is>
      </c>
      <c r="L8" s="9" t="inlineStr">
        <is>
          <t>Normal operations</t>
        </is>
      </c>
    </row>
    <row r="9">
      <c r="A9" s="4" t="n"/>
      <c r="B9" s="5" t="n"/>
      <c r="C9" s="5" t="n"/>
      <c r="D9" s="5" t="n"/>
      <c r="E9" s="5" t="n"/>
      <c r="F9" s="5" t="n"/>
      <c r="G9" s="12">
        <f>IF(AND(E9&lt;&gt;"",F9&lt;&gt;""),E9/(E9+F9),"")</f>
        <v/>
      </c>
      <c r="H9" s="5" t="n"/>
      <c r="I9" s="5" t="n"/>
      <c r="J9" s="5" t="n"/>
      <c r="K9" s="5" t="n"/>
      <c r="L9" s="5" t="n"/>
    </row>
    <row r="10">
      <c r="A10" s="4" t="n"/>
      <c r="B10" s="5" t="n"/>
      <c r="C10" s="5" t="n"/>
      <c r="D10" s="5" t="n"/>
      <c r="E10" s="5" t="n"/>
      <c r="F10" s="5" t="n"/>
      <c r="G10" s="12">
        <f>IF(AND(E10&lt;&gt;"",F10&lt;&gt;""),E10/(E10+F10),"")</f>
        <v/>
      </c>
      <c r="H10" s="5" t="n"/>
      <c r="I10" s="5" t="n"/>
      <c r="J10" s="5" t="n"/>
      <c r="K10" s="5" t="n"/>
      <c r="L10" s="5" t="n"/>
    </row>
    <row r="11">
      <c r="A11" s="4" t="n"/>
      <c r="B11" s="5" t="n"/>
      <c r="C11" s="5" t="n"/>
      <c r="D11" s="5" t="n"/>
      <c r="E11" s="5" t="n"/>
      <c r="F11" s="5" t="n"/>
      <c r="G11" s="12">
        <f>IF(AND(E11&lt;&gt;"",F11&lt;&gt;""),E11/(E11+F11),"")</f>
        <v/>
      </c>
      <c r="H11" s="5" t="n"/>
      <c r="I11" s="5" t="n"/>
      <c r="J11" s="5" t="n"/>
      <c r="K11" s="5" t="n"/>
      <c r="L11" s="5" t="n"/>
    </row>
    <row r="12">
      <c r="A12" s="4" t="n"/>
      <c r="B12" s="5" t="n"/>
      <c r="C12" s="5" t="n"/>
      <c r="D12" s="5" t="n"/>
      <c r="E12" s="5" t="n"/>
      <c r="F12" s="5" t="n"/>
      <c r="G12" s="12">
        <f>IF(AND(E12&lt;&gt;"",F12&lt;&gt;""),E12/(E12+F12),"")</f>
        <v/>
      </c>
      <c r="H12" s="5" t="n"/>
      <c r="I12" s="5" t="n"/>
      <c r="J12" s="5" t="n"/>
      <c r="K12" s="5" t="n"/>
      <c r="L12" s="5" t="n"/>
    </row>
    <row r="13">
      <c r="A13" s="4" t="n"/>
      <c r="B13" s="5" t="n"/>
      <c r="C13" s="5" t="n"/>
      <c r="D13" s="5" t="n"/>
      <c r="E13" s="5" t="n"/>
      <c r="F13" s="5" t="n"/>
      <c r="G13" s="12">
        <f>IF(AND(E13&lt;&gt;"",F13&lt;&gt;""),E13/(E13+F13),"")</f>
        <v/>
      </c>
      <c r="H13" s="5" t="n"/>
      <c r="I13" s="5" t="n"/>
      <c r="J13" s="5" t="n"/>
      <c r="K13" s="5" t="n"/>
      <c r="L13" s="5" t="n"/>
    </row>
    <row r="14">
      <c r="A14" s="4" t="n"/>
      <c r="B14" s="5" t="n"/>
      <c r="C14" s="5" t="n"/>
      <c r="D14" s="5" t="n"/>
      <c r="E14" s="5" t="n"/>
      <c r="F14" s="5" t="n"/>
      <c r="G14" s="12">
        <f>IF(AND(E14&lt;&gt;"",F14&lt;&gt;""),E14/(E14+F14),"")</f>
        <v/>
      </c>
      <c r="H14" s="5" t="n"/>
      <c r="I14" s="5" t="n"/>
      <c r="J14" s="5" t="n"/>
      <c r="K14" s="5" t="n"/>
      <c r="L14" s="5" t="n"/>
    </row>
    <row r="15">
      <c r="A15" s="4" t="n"/>
      <c r="B15" s="5" t="n"/>
      <c r="C15" s="5" t="n"/>
      <c r="D15" s="5" t="n"/>
      <c r="E15" s="5" t="n"/>
      <c r="F15" s="5" t="n"/>
      <c r="G15" s="12">
        <f>IF(AND(E15&lt;&gt;"",F15&lt;&gt;""),E15/(E15+F15),"")</f>
        <v/>
      </c>
      <c r="H15" s="5" t="n"/>
      <c r="I15" s="5" t="n"/>
      <c r="J15" s="5" t="n"/>
      <c r="K15" s="5" t="n"/>
      <c r="L15" s="5" t="n"/>
    </row>
    <row r="16">
      <c r="A16" s="4" t="n"/>
      <c r="B16" s="5" t="n"/>
      <c r="C16" s="5" t="n"/>
      <c r="D16" s="5" t="n"/>
      <c r="E16" s="5" t="n"/>
      <c r="F16" s="5" t="n"/>
      <c r="G16" s="12">
        <f>IF(AND(E16&lt;&gt;"",F16&lt;&gt;""),E16/(E16+F16),"")</f>
        <v/>
      </c>
      <c r="H16" s="5" t="n"/>
      <c r="I16" s="5" t="n"/>
      <c r="J16" s="5" t="n"/>
      <c r="K16" s="5" t="n"/>
      <c r="L16" s="5" t="n"/>
    </row>
    <row r="17">
      <c r="A17" s="4" t="n"/>
      <c r="B17" s="5" t="n"/>
      <c r="C17" s="5" t="n"/>
      <c r="D17" s="5" t="n"/>
      <c r="E17" s="5" t="n"/>
      <c r="F17" s="5" t="n"/>
      <c r="G17" s="12">
        <f>IF(AND(E17&lt;&gt;"",F17&lt;&gt;""),E17/(E17+F17),"")</f>
        <v/>
      </c>
      <c r="H17" s="5" t="n"/>
      <c r="I17" s="5" t="n"/>
      <c r="J17" s="5" t="n"/>
      <c r="K17" s="5" t="n"/>
      <c r="L17" s="5" t="n"/>
    </row>
    <row r="18">
      <c r="A18" s="4" t="n"/>
      <c r="B18" s="5" t="n"/>
      <c r="C18" s="5" t="n"/>
      <c r="D18" s="5" t="n"/>
      <c r="E18" s="5" t="n"/>
      <c r="F18" s="5" t="n"/>
      <c r="G18" s="12">
        <f>IF(AND(E18&lt;&gt;"",F18&lt;&gt;""),E18/(E18+F18),"")</f>
        <v/>
      </c>
      <c r="H18" s="5" t="n"/>
      <c r="I18" s="5" t="n"/>
      <c r="J18" s="5" t="n"/>
      <c r="K18" s="5" t="n"/>
      <c r="L18" s="5" t="n"/>
    </row>
    <row r="19">
      <c r="A19" s="4" t="n"/>
      <c r="B19" s="5" t="n"/>
      <c r="C19" s="5" t="n"/>
      <c r="D19" s="5" t="n"/>
      <c r="E19" s="5" t="n"/>
      <c r="F19" s="5" t="n"/>
      <c r="G19" s="12">
        <f>IF(AND(E19&lt;&gt;"",F19&lt;&gt;""),E19/(E19+F19),"")</f>
        <v/>
      </c>
      <c r="H19" s="5" t="n"/>
      <c r="I19" s="5" t="n"/>
      <c r="J19" s="5" t="n"/>
      <c r="K19" s="5" t="n"/>
      <c r="L19" s="5" t="n"/>
    </row>
    <row r="20">
      <c r="A20" s="4" t="n"/>
      <c r="B20" s="5" t="n"/>
      <c r="C20" s="5" t="n"/>
      <c r="D20" s="5" t="n"/>
      <c r="E20" s="5" t="n"/>
      <c r="F20" s="5" t="n"/>
      <c r="G20" s="12">
        <f>IF(AND(E20&lt;&gt;"",F20&lt;&gt;""),E20/(E20+F20),"")</f>
        <v/>
      </c>
      <c r="H20" s="5" t="n"/>
      <c r="I20" s="5" t="n"/>
      <c r="J20" s="5" t="n"/>
      <c r="K20" s="5" t="n"/>
      <c r="L20" s="5" t="n"/>
    </row>
    <row r="21">
      <c r="A21" s="4" t="n"/>
      <c r="B21" s="5" t="n"/>
      <c r="C21" s="5" t="n"/>
      <c r="D21" s="5" t="n"/>
      <c r="E21" s="5" t="n"/>
      <c r="F21" s="5" t="n"/>
      <c r="G21" s="12">
        <f>IF(AND(E21&lt;&gt;"",F21&lt;&gt;""),E21/(E21+F21),"")</f>
        <v/>
      </c>
      <c r="H21" s="5" t="n"/>
      <c r="I21" s="5" t="n"/>
      <c r="J21" s="5" t="n"/>
      <c r="K21" s="5" t="n"/>
      <c r="L21" s="5" t="n"/>
    </row>
    <row r="22">
      <c r="A22" s="4" t="n"/>
      <c r="B22" s="5" t="n"/>
      <c r="C22" s="5" t="n"/>
      <c r="D22" s="5" t="n"/>
      <c r="E22" s="5" t="n"/>
      <c r="F22" s="5" t="n"/>
      <c r="G22" s="12">
        <f>IF(AND(E22&lt;&gt;"",F22&lt;&gt;""),E22/(E22+F22),"")</f>
        <v/>
      </c>
      <c r="H22" s="5" t="n"/>
      <c r="I22" s="5" t="n"/>
      <c r="J22" s="5" t="n"/>
      <c r="K22" s="5" t="n"/>
      <c r="L22" s="5" t="n"/>
    </row>
    <row r="23">
      <c r="A23" s="4" t="n"/>
      <c r="B23" s="5" t="n"/>
      <c r="C23" s="5" t="n"/>
      <c r="D23" s="5" t="n"/>
      <c r="E23" s="5" t="n"/>
      <c r="F23" s="5" t="n"/>
      <c r="G23" s="12">
        <f>IF(AND(E23&lt;&gt;"",F23&lt;&gt;""),E23/(E23+F23),"")</f>
        <v/>
      </c>
      <c r="H23" s="5" t="n"/>
      <c r="I23" s="5" t="n"/>
      <c r="J23" s="5" t="n"/>
      <c r="K23" s="5" t="n"/>
      <c r="L23" s="5" t="n"/>
    </row>
    <row r="24">
      <c r="A24" s="4" t="n"/>
      <c r="B24" s="5" t="n"/>
      <c r="C24" s="5" t="n"/>
      <c r="D24" s="5" t="n"/>
      <c r="E24" s="5" t="n"/>
      <c r="F24" s="5" t="n"/>
      <c r="G24" s="12">
        <f>IF(AND(E24&lt;&gt;"",F24&lt;&gt;""),E24/(E24+F24),"")</f>
        <v/>
      </c>
      <c r="H24" s="5" t="n"/>
      <c r="I24" s="5" t="n"/>
      <c r="J24" s="5" t="n"/>
      <c r="K24" s="5" t="n"/>
      <c r="L24" s="5" t="n"/>
    </row>
    <row r="25">
      <c r="A25" s="4" t="n"/>
      <c r="B25" s="5" t="n"/>
      <c r="C25" s="5" t="n"/>
      <c r="D25" s="5" t="n"/>
      <c r="E25" s="5" t="n"/>
      <c r="F25" s="5" t="n"/>
      <c r="G25" s="12">
        <f>IF(AND(E25&lt;&gt;"",F25&lt;&gt;""),E25/(E25+F25),"")</f>
        <v/>
      </c>
      <c r="H25" s="5" t="n"/>
      <c r="I25" s="5" t="n"/>
      <c r="J25" s="5" t="n"/>
      <c r="K25" s="5" t="n"/>
      <c r="L25" s="5" t="n"/>
    </row>
    <row r="26">
      <c r="A26" s="4" t="n"/>
      <c r="B26" s="5" t="n"/>
      <c r="C26" s="5" t="n"/>
      <c r="D26" s="5" t="n"/>
      <c r="E26" s="5" t="n"/>
      <c r="F26" s="5" t="n"/>
      <c r="G26" s="12">
        <f>IF(AND(E26&lt;&gt;"",F26&lt;&gt;""),E26/(E26+F26),"")</f>
        <v/>
      </c>
      <c r="H26" s="5" t="n"/>
      <c r="I26" s="5" t="n"/>
      <c r="J26" s="5" t="n"/>
      <c r="K26" s="5" t="n"/>
      <c r="L26" s="5" t="n"/>
    </row>
    <row r="27">
      <c r="A27" s="4" t="n"/>
      <c r="B27" s="5" t="n"/>
      <c r="C27" s="5" t="n"/>
      <c r="D27" s="5" t="n"/>
      <c r="E27" s="5" t="n"/>
      <c r="F27" s="5" t="n"/>
      <c r="G27" s="12">
        <f>IF(AND(E27&lt;&gt;"",F27&lt;&gt;""),E27/(E27+F27),"")</f>
        <v/>
      </c>
      <c r="H27" s="5" t="n"/>
      <c r="I27" s="5" t="n"/>
      <c r="J27" s="5" t="n"/>
      <c r="K27" s="5" t="n"/>
      <c r="L27" s="5" t="n"/>
    </row>
    <row r="28">
      <c r="A28" s="4" t="n"/>
      <c r="B28" s="5" t="n"/>
      <c r="C28" s="5" t="n"/>
      <c r="D28" s="5" t="n"/>
      <c r="E28" s="5" t="n"/>
      <c r="F28" s="5" t="n"/>
      <c r="G28" s="12">
        <f>IF(AND(E28&lt;&gt;"",F28&lt;&gt;""),E28/(E28+F28),"")</f>
        <v/>
      </c>
      <c r="H28" s="5" t="n"/>
      <c r="I28" s="5" t="n"/>
      <c r="J28" s="5" t="n"/>
      <c r="K28" s="5" t="n"/>
      <c r="L28" s="5" t="n"/>
    </row>
    <row r="29">
      <c r="A29" s="4" t="n"/>
      <c r="B29" s="5" t="n"/>
      <c r="C29" s="5" t="n"/>
      <c r="D29" s="5" t="n"/>
      <c r="E29" s="5" t="n"/>
      <c r="F29" s="5" t="n"/>
      <c r="G29" s="12">
        <f>IF(AND(E29&lt;&gt;"",F29&lt;&gt;""),E29/(E29+F29),"")</f>
        <v/>
      </c>
      <c r="H29" s="5" t="n"/>
      <c r="I29" s="5" t="n"/>
      <c r="J29" s="5" t="n"/>
      <c r="K29" s="5" t="n"/>
      <c r="L29" s="5" t="n"/>
    </row>
    <row r="30">
      <c r="A30" s="4" t="n"/>
      <c r="B30" s="5" t="n"/>
      <c r="C30" s="5" t="n"/>
      <c r="D30" s="5" t="n"/>
      <c r="E30" s="5" t="n"/>
      <c r="F30" s="5" t="n"/>
      <c r="G30" s="12">
        <f>IF(AND(E30&lt;&gt;"",F30&lt;&gt;""),E30/(E30+F30),"")</f>
        <v/>
      </c>
      <c r="H30" s="5" t="n"/>
      <c r="I30" s="5" t="n"/>
      <c r="J30" s="5" t="n"/>
      <c r="K30" s="5" t="n"/>
      <c r="L30" s="5" t="n"/>
    </row>
    <row r="31">
      <c r="A31" s="4" t="n"/>
      <c r="B31" s="5" t="n"/>
      <c r="C31" s="5" t="n"/>
      <c r="D31" s="5" t="n"/>
      <c r="E31" s="5" t="n"/>
      <c r="F31" s="5" t="n"/>
      <c r="G31" s="12">
        <f>IF(AND(E31&lt;&gt;"",F31&lt;&gt;""),E31/(E31+F31),"")</f>
        <v/>
      </c>
      <c r="H31" s="5" t="n"/>
      <c r="I31" s="5" t="n"/>
      <c r="J31" s="5" t="n"/>
      <c r="K31" s="5" t="n"/>
      <c r="L31" s="5" t="n"/>
    </row>
    <row r="32">
      <c r="A32" s="4" t="n"/>
      <c r="B32" s="5" t="n"/>
      <c r="C32" s="5" t="n"/>
      <c r="D32" s="5" t="n"/>
      <c r="E32" s="5" t="n"/>
      <c r="F32" s="5" t="n"/>
      <c r="G32" s="12">
        <f>IF(AND(E32&lt;&gt;"",F32&lt;&gt;""),E32/(E32+F32),"")</f>
        <v/>
      </c>
      <c r="H32" s="5" t="n"/>
      <c r="I32" s="5" t="n"/>
      <c r="J32" s="5" t="n"/>
      <c r="K32" s="5" t="n"/>
      <c r="L32" s="5" t="n"/>
    </row>
    <row r="33">
      <c r="A33" s="4" t="n"/>
      <c r="B33" s="5" t="n"/>
      <c r="C33" s="5" t="n"/>
      <c r="D33" s="5" t="n"/>
      <c r="E33" s="5" t="n"/>
      <c r="F33" s="5" t="n"/>
      <c r="G33" s="12">
        <f>IF(AND(E33&lt;&gt;"",F33&lt;&gt;""),E33/(E33+F33),"")</f>
        <v/>
      </c>
      <c r="H33" s="5" t="n"/>
      <c r="I33" s="5" t="n"/>
      <c r="J33" s="5" t="n"/>
      <c r="K33" s="5" t="n"/>
      <c r="L33" s="5" t="n"/>
    </row>
    <row r="34">
      <c r="A34" s="4" t="n"/>
      <c r="B34" s="5" t="n"/>
      <c r="C34" s="5" t="n"/>
      <c r="D34" s="5" t="n"/>
      <c r="E34" s="5" t="n"/>
      <c r="F34" s="5" t="n"/>
      <c r="G34" s="12">
        <f>IF(AND(E34&lt;&gt;"",F34&lt;&gt;""),E34/(E34+F34),"")</f>
        <v/>
      </c>
      <c r="H34" s="5" t="n"/>
      <c r="I34" s="5" t="n"/>
      <c r="J34" s="5" t="n"/>
      <c r="K34" s="5" t="n"/>
      <c r="L34" s="5" t="n"/>
    </row>
    <row r="35">
      <c r="A35" s="4" t="n"/>
      <c r="B35" s="5" t="n"/>
      <c r="C35" s="5" t="n"/>
      <c r="D35" s="5" t="n"/>
      <c r="E35" s="5" t="n"/>
      <c r="F35" s="5" t="n"/>
      <c r="G35" s="12">
        <f>IF(AND(E35&lt;&gt;"",F35&lt;&gt;""),E35/(E35+F35),"")</f>
        <v/>
      </c>
      <c r="H35" s="5" t="n"/>
      <c r="I35" s="5" t="n"/>
      <c r="J35" s="5" t="n"/>
      <c r="K35" s="5" t="n"/>
      <c r="L35" s="5" t="n"/>
    </row>
    <row r="36">
      <c r="A36" s="4" t="n"/>
      <c r="B36" s="5" t="n"/>
      <c r="C36" s="5" t="n"/>
      <c r="D36" s="5" t="n"/>
      <c r="E36" s="5" t="n"/>
      <c r="F36" s="5" t="n"/>
      <c r="G36" s="12">
        <f>IF(AND(E36&lt;&gt;"",F36&lt;&gt;""),E36/(E36+F36),"")</f>
        <v/>
      </c>
      <c r="H36" s="5" t="n"/>
      <c r="I36" s="5" t="n"/>
      <c r="J36" s="5" t="n"/>
      <c r="K36" s="5" t="n"/>
      <c r="L36" s="5" t="n"/>
    </row>
    <row r="37">
      <c r="A37" s="4" t="n"/>
      <c r="B37" s="5" t="n"/>
      <c r="C37" s="5" t="n"/>
      <c r="D37" s="5" t="n"/>
      <c r="E37" s="5" t="n"/>
      <c r="F37" s="5" t="n"/>
      <c r="G37" s="12">
        <f>IF(AND(E37&lt;&gt;"",F37&lt;&gt;""),E37/(E37+F37),"")</f>
        <v/>
      </c>
      <c r="H37" s="5" t="n"/>
      <c r="I37" s="5" t="n"/>
      <c r="J37" s="5" t="n"/>
      <c r="K37" s="5" t="n"/>
      <c r="L37" s="5" t="n"/>
    </row>
    <row r="38">
      <c r="A38" s="4" t="n"/>
      <c r="B38" s="5" t="n"/>
      <c r="C38" s="5" t="n"/>
      <c r="D38" s="5" t="n"/>
      <c r="E38" s="5" t="n"/>
      <c r="F38" s="5" t="n"/>
      <c r="G38" s="12">
        <f>IF(AND(E38&lt;&gt;"",F38&lt;&gt;""),E38/(E38+F38),"")</f>
        <v/>
      </c>
      <c r="H38" s="5" t="n"/>
      <c r="I38" s="5" t="n"/>
      <c r="J38" s="5" t="n"/>
      <c r="K38" s="5" t="n"/>
      <c r="L38" s="5" t="n"/>
    </row>
    <row r="39">
      <c r="A39" s="4" t="n"/>
      <c r="B39" s="5" t="n"/>
      <c r="C39" s="5" t="n"/>
      <c r="D39" s="5" t="n"/>
      <c r="E39" s="5" t="n"/>
      <c r="F39" s="5" t="n"/>
      <c r="G39" s="12">
        <f>IF(AND(E39&lt;&gt;"",F39&lt;&gt;""),E39/(E39+F39),"")</f>
        <v/>
      </c>
      <c r="H39" s="5" t="n"/>
      <c r="I39" s="5" t="n"/>
      <c r="J39" s="5" t="n"/>
      <c r="K39" s="5" t="n"/>
      <c r="L39" s="5" t="n"/>
    </row>
    <row r="40">
      <c r="A40" s="4" t="n"/>
      <c r="B40" s="5" t="n"/>
      <c r="C40" s="5" t="n"/>
      <c r="D40" s="5" t="n"/>
      <c r="E40" s="5" t="n"/>
      <c r="F40" s="5" t="n"/>
      <c r="G40" s="12">
        <f>IF(AND(E40&lt;&gt;"",F40&lt;&gt;""),E40/(E40+F40),"")</f>
        <v/>
      </c>
      <c r="H40" s="5" t="n"/>
      <c r="I40" s="5" t="n"/>
      <c r="J40" s="5" t="n"/>
      <c r="K40" s="5" t="n"/>
      <c r="L40" s="5" t="n"/>
    </row>
    <row r="41">
      <c r="A41" s="4" t="n"/>
      <c r="B41" s="5" t="n"/>
      <c r="C41" s="5" t="n"/>
      <c r="D41" s="5" t="n"/>
      <c r="E41" s="5" t="n"/>
      <c r="F41" s="5" t="n"/>
      <c r="G41" s="12">
        <f>IF(AND(E41&lt;&gt;"",F41&lt;&gt;""),E41/(E41+F41),"")</f>
        <v/>
      </c>
      <c r="H41" s="5" t="n"/>
      <c r="I41" s="5" t="n"/>
      <c r="J41" s="5" t="n"/>
      <c r="K41" s="5" t="n"/>
      <c r="L41" s="5" t="n"/>
    </row>
    <row r="42">
      <c r="A42" s="4" t="n"/>
      <c r="B42" s="5" t="n"/>
      <c r="C42" s="5" t="n"/>
      <c r="D42" s="5" t="n"/>
      <c r="E42" s="5" t="n"/>
      <c r="F42" s="5" t="n"/>
      <c r="G42" s="12">
        <f>IF(AND(E42&lt;&gt;"",F42&lt;&gt;""),E42/(E42+F42),"")</f>
        <v/>
      </c>
      <c r="H42" s="5" t="n"/>
      <c r="I42" s="5" t="n"/>
      <c r="J42" s="5" t="n"/>
      <c r="K42" s="5" t="n"/>
      <c r="L42" s="5" t="n"/>
    </row>
    <row r="43">
      <c r="A43" s="4" t="n"/>
      <c r="B43" s="5" t="n"/>
      <c r="C43" s="5" t="n"/>
      <c r="D43" s="5" t="n"/>
      <c r="E43" s="5" t="n"/>
      <c r="F43" s="5" t="n"/>
      <c r="G43" s="12">
        <f>IF(AND(E43&lt;&gt;"",F43&lt;&gt;""),E43/(E43+F43),"")</f>
        <v/>
      </c>
      <c r="H43" s="5" t="n"/>
      <c r="I43" s="5" t="n"/>
      <c r="J43" s="5" t="n"/>
      <c r="K43" s="5" t="n"/>
      <c r="L43" s="5" t="n"/>
    </row>
    <row r="44">
      <c r="A44" s="4" t="n"/>
      <c r="B44" s="5" t="n"/>
      <c r="C44" s="5" t="n"/>
      <c r="D44" s="5" t="n"/>
      <c r="E44" s="5" t="n"/>
      <c r="F44" s="5" t="n"/>
      <c r="G44" s="12">
        <f>IF(AND(E44&lt;&gt;"",F44&lt;&gt;""),E44/(E44+F44),"")</f>
        <v/>
      </c>
      <c r="H44" s="5" t="n"/>
      <c r="I44" s="5" t="n"/>
      <c r="J44" s="5" t="n"/>
      <c r="K44" s="5" t="n"/>
      <c r="L44" s="5" t="n"/>
    </row>
    <row r="45">
      <c r="A45" s="4" t="n"/>
      <c r="B45" s="5" t="n"/>
      <c r="C45" s="5" t="n"/>
      <c r="D45" s="5" t="n"/>
      <c r="E45" s="5" t="n"/>
      <c r="F45" s="5" t="n"/>
      <c r="G45" s="12">
        <f>IF(AND(E45&lt;&gt;"",F45&lt;&gt;""),E45/(E45+F45),"")</f>
        <v/>
      </c>
      <c r="H45" s="5" t="n"/>
      <c r="I45" s="5" t="n"/>
      <c r="J45" s="5" t="n"/>
      <c r="K45" s="5" t="n"/>
      <c r="L45" s="5" t="n"/>
    </row>
    <row r="46">
      <c r="A46" s="4" t="n"/>
      <c r="B46" s="5" t="n"/>
      <c r="C46" s="5" t="n"/>
      <c r="D46" s="5" t="n"/>
      <c r="E46" s="5" t="n"/>
      <c r="F46" s="5" t="n"/>
      <c r="G46" s="12">
        <f>IF(AND(E46&lt;&gt;"",F46&lt;&gt;""),E46/(E46+F46),"")</f>
        <v/>
      </c>
      <c r="H46" s="5" t="n"/>
      <c r="I46" s="5" t="n"/>
      <c r="J46" s="5" t="n"/>
      <c r="K46" s="5" t="n"/>
      <c r="L46" s="5" t="n"/>
    </row>
    <row r="47">
      <c r="A47" s="4" t="n"/>
      <c r="B47" s="5" t="n"/>
      <c r="C47" s="5" t="n"/>
      <c r="D47" s="5" t="n"/>
      <c r="E47" s="5" t="n"/>
      <c r="F47" s="5" t="n"/>
      <c r="G47" s="12">
        <f>IF(AND(E47&lt;&gt;"",F47&lt;&gt;""),E47/(E47+F47),"")</f>
        <v/>
      </c>
      <c r="H47" s="5" t="n"/>
      <c r="I47" s="5" t="n"/>
      <c r="J47" s="5" t="n"/>
      <c r="K47" s="5" t="n"/>
      <c r="L47" s="5" t="n"/>
    </row>
    <row r="48">
      <c r="A48" s="4" t="n"/>
      <c r="B48" s="5" t="n"/>
      <c r="C48" s="5" t="n"/>
      <c r="D48" s="5" t="n"/>
      <c r="E48" s="5" t="n"/>
      <c r="F48" s="5" t="n"/>
      <c r="G48" s="12">
        <f>IF(AND(E48&lt;&gt;"",F48&lt;&gt;""),E48/(E48+F48),"")</f>
        <v/>
      </c>
      <c r="H48" s="5" t="n"/>
      <c r="I48" s="5" t="n"/>
      <c r="J48" s="5" t="n"/>
      <c r="K48" s="5" t="n"/>
      <c r="L48" s="5" t="n"/>
    </row>
    <row r="49">
      <c r="A49" s="4" t="n"/>
      <c r="B49" s="5" t="n"/>
      <c r="C49" s="5" t="n"/>
      <c r="D49" s="5" t="n"/>
      <c r="E49" s="5" t="n"/>
      <c r="F49" s="5" t="n"/>
      <c r="G49" s="12">
        <f>IF(AND(E49&lt;&gt;"",F49&lt;&gt;""),E49/(E49+F49),"")</f>
        <v/>
      </c>
      <c r="H49" s="5" t="n"/>
      <c r="I49" s="5" t="n"/>
      <c r="J49" s="5" t="n"/>
      <c r="K49" s="5" t="n"/>
      <c r="L49" s="5" t="n"/>
    </row>
    <row r="50">
      <c r="A50" s="4" t="n"/>
      <c r="B50" s="5" t="n"/>
      <c r="C50" s="5" t="n"/>
      <c r="D50" s="5" t="n"/>
      <c r="E50" s="5" t="n"/>
      <c r="F50" s="5" t="n"/>
      <c r="G50" s="12">
        <f>IF(AND(E50&lt;&gt;"",F50&lt;&gt;""),E50/(E50+F50),"")</f>
        <v/>
      </c>
      <c r="H50" s="5" t="n"/>
      <c r="I50" s="5" t="n"/>
      <c r="J50" s="5" t="n"/>
      <c r="K50" s="5" t="n"/>
      <c r="L50" s="5" t="n"/>
    </row>
    <row r="51">
      <c r="A51" s="4" t="n"/>
      <c r="B51" s="5" t="n"/>
      <c r="C51" s="5" t="n"/>
      <c r="D51" s="5" t="n"/>
      <c r="E51" s="5" t="n"/>
      <c r="F51" s="5" t="n"/>
      <c r="G51" s="12">
        <f>IF(AND(E51&lt;&gt;"",F51&lt;&gt;""),E51/(E51+F51),"")</f>
        <v/>
      </c>
      <c r="H51" s="5" t="n"/>
      <c r="I51" s="5" t="n"/>
      <c r="J51" s="5" t="n"/>
      <c r="K51" s="5" t="n"/>
      <c r="L51" s="5" t="n"/>
    </row>
    <row r="52">
      <c r="A52" s="4" t="n"/>
      <c r="B52" s="5" t="n"/>
      <c r="C52" s="5" t="n"/>
      <c r="D52" s="5" t="n"/>
      <c r="E52" s="5" t="n"/>
      <c r="F52" s="5" t="n"/>
      <c r="G52" s="12">
        <f>IF(AND(E52&lt;&gt;"",F52&lt;&gt;""),E52/(E52+F52),"")</f>
        <v/>
      </c>
      <c r="H52" s="5" t="n"/>
      <c r="I52" s="5" t="n"/>
      <c r="J52" s="5" t="n"/>
      <c r="K52" s="5" t="n"/>
      <c r="L52" s="5" t="n"/>
    </row>
    <row r="53">
      <c r="A53" s="4" t="n"/>
      <c r="B53" s="5" t="n"/>
      <c r="C53" s="5" t="n"/>
      <c r="D53" s="5" t="n"/>
      <c r="E53" s="5" t="n"/>
      <c r="F53" s="5" t="n"/>
      <c r="G53" s="12">
        <f>IF(AND(E53&lt;&gt;"",F53&lt;&gt;""),E53/(E53+F53),"")</f>
        <v/>
      </c>
      <c r="H53" s="5" t="n"/>
      <c r="I53" s="5" t="n"/>
      <c r="J53" s="5" t="n"/>
      <c r="K53" s="5" t="n"/>
      <c r="L53" s="5" t="n"/>
    </row>
    <row r="54">
      <c r="A54" s="4" t="n"/>
      <c r="B54" s="5" t="n"/>
      <c r="C54" s="5" t="n"/>
      <c r="D54" s="5" t="n"/>
      <c r="E54" s="5" t="n"/>
      <c r="F54" s="5" t="n"/>
      <c r="G54" s="12">
        <f>IF(AND(E54&lt;&gt;"",F54&lt;&gt;""),E54/(E54+F54),"")</f>
        <v/>
      </c>
      <c r="H54" s="5" t="n"/>
      <c r="I54" s="5" t="n"/>
      <c r="J54" s="5" t="n"/>
      <c r="K54" s="5" t="n"/>
      <c r="L54" s="5" t="n"/>
    </row>
    <row r="55">
      <c r="A55" s="4" t="n"/>
      <c r="B55" s="5" t="n"/>
      <c r="C55" s="5" t="n"/>
      <c r="D55" s="5" t="n"/>
      <c r="E55" s="5" t="n"/>
      <c r="F55" s="5" t="n"/>
      <c r="G55" s="12">
        <f>IF(AND(E55&lt;&gt;"",F55&lt;&gt;""),E55/(E55+F55),"")</f>
        <v/>
      </c>
      <c r="H55" s="5" t="n"/>
      <c r="I55" s="5" t="n"/>
      <c r="J55" s="5" t="n"/>
      <c r="K55" s="5" t="n"/>
      <c r="L55" s="5" t="n"/>
    </row>
    <row r="56">
      <c r="A56" s="4" t="n"/>
      <c r="B56" s="5" t="n"/>
      <c r="C56" s="5" t="n"/>
      <c r="D56" s="5" t="n"/>
      <c r="E56" s="5" t="n"/>
      <c r="F56" s="5" t="n"/>
      <c r="G56" s="12">
        <f>IF(AND(E56&lt;&gt;"",F56&lt;&gt;""),E56/(E56+F56),"")</f>
        <v/>
      </c>
      <c r="H56" s="5" t="n"/>
      <c r="I56" s="5" t="n"/>
      <c r="J56" s="5" t="n"/>
      <c r="K56" s="5" t="n"/>
      <c r="L56" s="5" t="n"/>
    </row>
    <row r="57">
      <c r="A57" s="4" t="n"/>
      <c r="B57" s="5" t="n"/>
      <c r="C57" s="5" t="n"/>
      <c r="D57" s="5" t="n"/>
      <c r="E57" s="5" t="n"/>
      <c r="F57" s="5" t="n"/>
      <c r="G57" s="12">
        <f>IF(AND(E57&lt;&gt;"",F57&lt;&gt;""),E57/(E57+F57),"")</f>
        <v/>
      </c>
      <c r="H57" s="5" t="n"/>
      <c r="I57" s="5" t="n"/>
      <c r="J57" s="5" t="n"/>
      <c r="K57" s="5" t="n"/>
      <c r="L57" s="5" t="n"/>
    </row>
    <row r="58">
      <c r="A58" s="4" t="n"/>
      <c r="B58" s="5" t="n"/>
      <c r="C58" s="5" t="n"/>
      <c r="D58" s="5" t="n"/>
      <c r="E58" s="5" t="n"/>
      <c r="F58" s="5" t="n"/>
      <c r="G58" s="12">
        <f>IF(AND(E58&lt;&gt;"",F58&lt;&gt;""),E58/(E58+F58),"")</f>
        <v/>
      </c>
      <c r="H58" s="5" t="n"/>
      <c r="I58" s="5" t="n"/>
      <c r="J58" s="5" t="n"/>
      <c r="K58" s="5" t="n"/>
      <c r="L58" s="5" t="n"/>
    </row>
    <row r="59">
      <c r="A59" s="4" t="n"/>
      <c r="B59" s="5" t="n"/>
      <c r="C59" s="5" t="n"/>
      <c r="D59" s="5" t="n"/>
      <c r="E59" s="5" t="n"/>
      <c r="F59" s="5" t="n"/>
      <c r="G59" s="12">
        <f>IF(AND(E59&lt;&gt;"",F59&lt;&gt;""),E59/(E59+F59),"")</f>
        <v/>
      </c>
      <c r="H59" s="5" t="n"/>
      <c r="I59" s="5" t="n"/>
      <c r="J59" s="5" t="n"/>
      <c r="K59" s="5" t="n"/>
      <c r="L59" s="5" t="n"/>
    </row>
    <row r="60">
      <c r="A60" s="4" t="n"/>
      <c r="B60" s="5" t="n"/>
      <c r="C60" s="5" t="n"/>
      <c r="D60" s="5" t="n"/>
      <c r="E60" s="5" t="n"/>
      <c r="F60" s="5" t="n"/>
      <c r="G60" s="12">
        <f>IF(AND(E60&lt;&gt;"",F60&lt;&gt;""),E60/(E60+F60),"")</f>
        <v/>
      </c>
      <c r="H60" s="5" t="n"/>
      <c r="I60" s="5" t="n"/>
      <c r="J60" s="5" t="n"/>
      <c r="K60" s="5" t="n"/>
      <c r="L60" s="5" t="n"/>
    </row>
    <row r="61">
      <c r="A61" s="4" t="n"/>
      <c r="B61" s="5" t="n"/>
      <c r="C61" s="5" t="n"/>
      <c r="D61" s="5" t="n"/>
      <c r="E61" s="5" t="n"/>
      <c r="F61" s="5" t="n"/>
      <c r="G61" s="12">
        <f>IF(AND(E61&lt;&gt;"",F61&lt;&gt;""),E61/(E61+F61),"")</f>
        <v/>
      </c>
      <c r="H61" s="5" t="n"/>
      <c r="I61" s="5" t="n"/>
      <c r="J61" s="5" t="n"/>
      <c r="K61" s="5" t="n"/>
      <c r="L61" s="5" t="n"/>
    </row>
    <row r="62">
      <c r="A62" s="4" t="n"/>
      <c r="B62" s="5" t="n"/>
      <c r="C62" s="5" t="n"/>
      <c r="D62" s="5" t="n"/>
      <c r="E62" s="5" t="n"/>
      <c r="F62" s="5" t="n"/>
      <c r="G62" s="12">
        <f>IF(AND(E62&lt;&gt;"",F62&lt;&gt;""),E62/(E62+F62),"")</f>
        <v/>
      </c>
      <c r="H62" s="5" t="n"/>
      <c r="I62" s="5" t="n"/>
      <c r="J62" s="5" t="n"/>
      <c r="K62" s="5" t="n"/>
      <c r="L62" s="5" t="n"/>
    </row>
    <row r="63">
      <c r="A63" s="4" t="n"/>
      <c r="B63" s="5" t="n"/>
      <c r="C63" s="5" t="n"/>
      <c r="D63" s="5" t="n"/>
      <c r="E63" s="5" t="n"/>
      <c r="F63" s="5" t="n"/>
      <c r="G63" s="12">
        <f>IF(AND(E63&lt;&gt;"",F63&lt;&gt;""),E63/(E63+F63),"")</f>
        <v/>
      </c>
      <c r="H63" s="5" t="n"/>
      <c r="I63" s="5" t="n"/>
      <c r="J63" s="5" t="n"/>
      <c r="K63" s="5" t="n"/>
      <c r="L63" s="5" t="n"/>
    </row>
    <row r="64">
      <c r="A64" s="4" t="n"/>
      <c r="B64" s="5" t="n"/>
      <c r="C64" s="5" t="n"/>
      <c r="D64" s="5" t="n"/>
      <c r="E64" s="5" t="n"/>
      <c r="F64" s="5" t="n"/>
      <c r="G64" s="12">
        <f>IF(AND(E64&lt;&gt;"",F64&lt;&gt;""),E64/(E64+F64),"")</f>
        <v/>
      </c>
      <c r="H64" s="5" t="n"/>
      <c r="I64" s="5" t="n"/>
      <c r="J64" s="5" t="n"/>
      <c r="K64" s="5" t="n"/>
      <c r="L64" s="5" t="n"/>
    </row>
    <row r="65">
      <c r="A65" s="4" t="n"/>
      <c r="B65" s="5" t="n"/>
      <c r="C65" s="5" t="n"/>
      <c r="D65" s="5" t="n"/>
      <c r="E65" s="5" t="n"/>
      <c r="F65" s="5" t="n"/>
      <c r="G65" s="12">
        <f>IF(AND(E65&lt;&gt;"",F65&lt;&gt;""),E65/(E65+F65),"")</f>
        <v/>
      </c>
      <c r="H65" s="5" t="n"/>
      <c r="I65" s="5" t="n"/>
      <c r="J65" s="5" t="n"/>
      <c r="K65" s="5" t="n"/>
      <c r="L65" s="5" t="n"/>
    </row>
    <row r="66">
      <c r="A66" s="4" t="n"/>
      <c r="B66" s="5" t="n"/>
      <c r="C66" s="5" t="n"/>
      <c r="D66" s="5" t="n"/>
      <c r="E66" s="5" t="n"/>
      <c r="F66" s="5" t="n"/>
      <c r="G66" s="12">
        <f>IF(AND(E66&lt;&gt;"",F66&lt;&gt;""),E66/(E66+F66),"")</f>
        <v/>
      </c>
      <c r="H66" s="5" t="n"/>
      <c r="I66" s="5" t="n"/>
      <c r="J66" s="5" t="n"/>
      <c r="K66" s="5" t="n"/>
      <c r="L66" s="5" t="n"/>
    </row>
    <row r="67">
      <c r="A67" s="4" t="n"/>
      <c r="B67" s="5" t="n"/>
      <c r="C67" s="5" t="n"/>
      <c r="D67" s="5" t="n"/>
      <c r="E67" s="5" t="n"/>
      <c r="F67" s="5" t="n"/>
      <c r="G67" s="12">
        <f>IF(AND(E67&lt;&gt;"",F67&lt;&gt;""),E67/(E67+F67),"")</f>
        <v/>
      </c>
      <c r="H67" s="5" t="n"/>
      <c r="I67" s="5" t="n"/>
      <c r="J67" s="5" t="n"/>
      <c r="K67" s="5" t="n"/>
      <c r="L67" s="5" t="n"/>
    </row>
    <row r="68">
      <c r="A68" s="4" t="n"/>
      <c r="B68" s="5" t="n"/>
      <c r="C68" s="5" t="n"/>
      <c r="D68" s="5" t="n"/>
      <c r="E68" s="5" t="n"/>
      <c r="F68" s="5" t="n"/>
      <c r="G68" s="12">
        <f>IF(AND(E68&lt;&gt;"",F68&lt;&gt;""),E68/(E68+F68),"")</f>
        <v/>
      </c>
      <c r="H68" s="5" t="n"/>
      <c r="I68" s="5" t="n"/>
      <c r="J68" s="5" t="n"/>
      <c r="K68" s="5" t="n"/>
      <c r="L68" s="5" t="n"/>
    </row>
    <row r="69">
      <c r="A69" s="4" t="n"/>
      <c r="B69" s="5" t="n"/>
      <c r="C69" s="5" t="n"/>
      <c r="D69" s="5" t="n"/>
      <c r="E69" s="5" t="n"/>
      <c r="F69" s="5" t="n"/>
      <c r="G69" s="12">
        <f>IF(AND(E69&lt;&gt;"",F69&lt;&gt;""),E69/(E69+F69),"")</f>
        <v/>
      </c>
      <c r="H69" s="5" t="n"/>
      <c r="I69" s="5" t="n"/>
      <c r="J69" s="5" t="n"/>
      <c r="K69" s="5" t="n"/>
      <c r="L69" s="5" t="n"/>
    </row>
    <row r="70">
      <c r="A70" s="4" t="n"/>
      <c r="B70" s="5" t="n"/>
      <c r="C70" s="5" t="n"/>
      <c r="D70" s="5" t="n"/>
      <c r="E70" s="5" t="n"/>
      <c r="F70" s="5" t="n"/>
      <c r="G70" s="12">
        <f>IF(AND(E70&lt;&gt;"",F70&lt;&gt;""),E70/(E70+F70),"")</f>
        <v/>
      </c>
      <c r="H70" s="5" t="n"/>
      <c r="I70" s="5" t="n"/>
      <c r="J70" s="5" t="n"/>
      <c r="K70" s="5" t="n"/>
      <c r="L70" s="5" t="n"/>
    </row>
    <row r="71">
      <c r="A71" s="4" t="n"/>
      <c r="B71" s="5" t="n"/>
      <c r="C71" s="5" t="n"/>
      <c r="D71" s="5" t="n"/>
      <c r="E71" s="5" t="n"/>
      <c r="F71" s="5" t="n"/>
      <c r="G71" s="12">
        <f>IF(AND(E71&lt;&gt;"",F71&lt;&gt;""),E71/(E71+F71),"")</f>
        <v/>
      </c>
      <c r="H71" s="5" t="n"/>
      <c r="I71" s="5" t="n"/>
      <c r="J71" s="5" t="n"/>
      <c r="K71" s="5" t="n"/>
      <c r="L71" s="5" t="n"/>
    </row>
    <row r="72">
      <c r="A72" s="4" t="n"/>
      <c r="B72" s="5" t="n"/>
      <c r="C72" s="5" t="n"/>
      <c r="D72" s="5" t="n"/>
      <c r="E72" s="5" t="n"/>
      <c r="F72" s="5" t="n"/>
      <c r="G72" s="12">
        <f>IF(AND(E72&lt;&gt;"",F72&lt;&gt;""),E72/(E72+F72),"")</f>
        <v/>
      </c>
      <c r="H72" s="5" t="n"/>
      <c r="I72" s="5" t="n"/>
      <c r="J72" s="5" t="n"/>
      <c r="K72" s="5" t="n"/>
      <c r="L72" s="5" t="n"/>
    </row>
    <row r="73">
      <c r="A73" s="4" t="n"/>
      <c r="B73" s="5" t="n"/>
      <c r="C73" s="5" t="n"/>
      <c r="D73" s="5" t="n"/>
      <c r="E73" s="5" t="n"/>
      <c r="F73" s="5" t="n"/>
      <c r="G73" s="12">
        <f>IF(AND(E73&lt;&gt;"",F73&lt;&gt;""),E73/(E73+F73),"")</f>
        <v/>
      </c>
      <c r="H73" s="5" t="n"/>
      <c r="I73" s="5" t="n"/>
      <c r="J73" s="5" t="n"/>
      <c r="K73" s="5" t="n"/>
      <c r="L73" s="5" t="n"/>
    </row>
    <row r="74">
      <c r="A74" s="4" t="n"/>
      <c r="B74" s="5" t="n"/>
      <c r="C74" s="5" t="n"/>
      <c r="D74" s="5" t="n"/>
      <c r="E74" s="5" t="n"/>
      <c r="F74" s="5" t="n"/>
      <c r="G74" s="12">
        <f>IF(AND(E74&lt;&gt;"",F74&lt;&gt;""),E74/(E74+F74),"")</f>
        <v/>
      </c>
      <c r="H74" s="5" t="n"/>
      <c r="I74" s="5" t="n"/>
      <c r="J74" s="5" t="n"/>
      <c r="K74" s="5" t="n"/>
      <c r="L74" s="5" t="n"/>
    </row>
    <row r="75">
      <c r="A75" s="4" t="n"/>
      <c r="B75" s="5" t="n"/>
      <c r="C75" s="5" t="n"/>
      <c r="D75" s="5" t="n"/>
      <c r="E75" s="5" t="n"/>
      <c r="F75" s="5" t="n"/>
      <c r="G75" s="12">
        <f>IF(AND(E75&lt;&gt;"",F75&lt;&gt;""),E75/(E75+F75),"")</f>
        <v/>
      </c>
      <c r="H75" s="5" t="n"/>
      <c r="I75" s="5" t="n"/>
      <c r="J75" s="5" t="n"/>
      <c r="K75" s="5" t="n"/>
      <c r="L75" s="5" t="n"/>
    </row>
    <row r="76">
      <c r="A76" s="4" t="n"/>
      <c r="B76" s="5" t="n"/>
      <c r="C76" s="5" t="n"/>
      <c r="D76" s="5" t="n"/>
      <c r="E76" s="5" t="n"/>
      <c r="F76" s="5" t="n"/>
      <c r="G76" s="12">
        <f>IF(AND(E76&lt;&gt;"",F76&lt;&gt;""),E76/(E76+F76),"")</f>
        <v/>
      </c>
      <c r="H76" s="5" t="n"/>
      <c r="I76" s="5" t="n"/>
      <c r="J76" s="5" t="n"/>
      <c r="K76" s="5" t="n"/>
      <c r="L76" s="5" t="n"/>
    </row>
    <row r="77">
      <c r="A77" s="4" t="n"/>
      <c r="B77" s="5" t="n"/>
      <c r="C77" s="5" t="n"/>
      <c r="D77" s="5" t="n"/>
      <c r="E77" s="5" t="n"/>
      <c r="F77" s="5" t="n"/>
      <c r="G77" s="12">
        <f>IF(AND(E77&lt;&gt;"",F77&lt;&gt;""),E77/(E77+F77),"")</f>
        <v/>
      </c>
      <c r="H77" s="5" t="n"/>
      <c r="I77" s="5" t="n"/>
      <c r="J77" s="5" t="n"/>
      <c r="K77" s="5" t="n"/>
      <c r="L77" s="5" t="n"/>
    </row>
    <row r="78">
      <c r="A78" s="4" t="n"/>
      <c r="B78" s="5" t="n"/>
      <c r="C78" s="5" t="n"/>
      <c r="D78" s="5" t="n"/>
      <c r="E78" s="5" t="n"/>
      <c r="F78" s="5" t="n"/>
      <c r="G78" s="12">
        <f>IF(AND(E78&lt;&gt;"",F78&lt;&gt;""),E78/(E78+F78),"")</f>
        <v/>
      </c>
      <c r="H78" s="5" t="n"/>
      <c r="I78" s="5" t="n"/>
      <c r="J78" s="5" t="n"/>
      <c r="K78" s="5" t="n"/>
      <c r="L78" s="5" t="n"/>
    </row>
    <row r="79">
      <c r="A79" s="4" t="n"/>
      <c r="B79" s="5" t="n"/>
      <c r="C79" s="5" t="n"/>
      <c r="D79" s="5" t="n"/>
      <c r="E79" s="5" t="n"/>
      <c r="F79" s="5" t="n"/>
      <c r="G79" s="12">
        <f>IF(AND(E79&lt;&gt;"",F79&lt;&gt;""),E79/(E79+F79),"")</f>
        <v/>
      </c>
      <c r="H79" s="5" t="n"/>
      <c r="I79" s="5" t="n"/>
      <c r="J79" s="5" t="n"/>
      <c r="K79" s="5" t="n"/>
      <c r="L79" s="5" t="n"/>
    </row>
    <row r="80">
      <c r="A80" s="4" t="n"/>
      <c r="B80" s="5" t="n"/>
      <c r="C80" s="5" t="n"/>
      <c r="D80" s="5" t="n"/>
      <c r="E80" s="5" t="n"/>
      <c r="F80" s="5" t="n"/>
      <c r="G80" s="12">
        <f>IF(AND(E80&lt;&gt;"",F80&lt;&gt;""),E80/(E80+F80),"")</f>
        <v/>
      </c>
      <c r="H80" s="5" t="n"/>
      <c r="I80" s="5" t="n"/>
      <c r="J80" s="5" t="n"/>
      <c r="K80" s="5" t="n"/>
      <c r="L80" s="5" t="n"/>
    </row>
    <row r="81">
      <c r="A81" s="4" t="n"/>
      <c r="B81" s="5" t="n"/>
      <c r="C81" s="5" t="n"/>
      <c r="D81" s="5" t="n"/>
      <c r="E81" s="5" t="n"/>
      <c r="F81" s="5" t="n"/>
      <c r="G81" s="12">
        <f>IF(AND(E81&lt;&gt;"",F81&lt;&gt;""),E81/(E81+F81),"")</f>
        <v/>
      </c>
      <c r="H81" s="5" t="n"/>
      <c r="I81" s="5" t="n"/>
      <c r="J81" s="5" t="n"/>
      <c r="K81" s="5" t="n"/>
      <c r="L81" s="5" t="n"/>
    </row>
    <row r="82">
      <c r="A82" s="4" t="n"/>
      <c r="B82" s="5" t="n"/>
      <c r="C82" s="5" t="n"/>
      <c r="D82" s="5" t="n"/>
      <c r="E82" s="5" t="n"/>
      <c r="F82" s="5" t="n"/>
      <c r="G82" s="12">
        <f>IF(AND(E82&lt;&gt;"",F82&lt;&gt;""),E82/(E82+F82),"")</f>
        <v/>
      </c>
      <c r="H82" s="5" t="n"/>
      <c r="I82" s="5" t="n"/>
      <c r="J82" s="5" t="n"/>
      <c r="K82" s="5" t="n"/>
      <c r="L82" s="5" t="n"/>
    </row>
    <row r="83">
      <c r="A83" s="4" t="n"/>
      <c r="B83" s="5" t="n"/>
      <c r="C83" s="5" t="n"/>
      <c r="D83" s="5" t="n"/>
      <c r="E83" s="5" t="n"/>
      <c r="F83" s="5" t="n"/>
      <c r="G83" s="12">
        <f>IF(AND(E83&lt;&gt;"",F83&lt;&gt;""),E83/(E83+F83),"")</f>
        <v/>
      </c>
      <c r="H83" s="5" t="n"/>
      <c r="I83" s="5" t="n"/>
      <c r="J83" s="5" t="n"/>
      <c r="K83" s="5" t="n"/>
      <c r="L83" s="5" t="n"/>
    </row>
    <row r="84">
      <c r="A84" s="4" t="n"/>
      <c r="B84" s="5" t="n"/>
      <c r="C84" s="5" t="n"/>
      <c r="D84" s="5" t="n"/>
      <c r="E84" s="5" t="n"/>
      <c r="F84" s="5" t="n"/>
      <c r="G84" s="12">
        <f>IF(AND(E84&lt;&gt;"",F84&lt;&gt;""),E84/(E84+F84),"")</f>
        <v/>
      </c>
      <c r="H84" s="5" t="n"/>
      <c r="I84" s="5" t="n"/>
      <c r="J84" s="5" t="n"/>
      <c r="K84" s="5" t="n"/>
      <c r="L84" s="5" t="n"/>
    </row>
    <row r="85">
      <c r="A85" s="4" t="n"/>
      <c r="B85" s="5" t="n"/>
      <c r="C85" s="5" t="n"/>
      <c r="D85" s="5" t="n"/>
      <c r="E85" s="5" t="n"/>
      <c r="F85" s="5" t="n"/>
      <c r="G85" s="12">
        <f>IF(AND(E85&lt;&gt;"",F85&lt;&gt;""),E85/(E85+F85),"")</f>
        <v/>
      </c>
      <c r="H85" s="5" t="n"/>
      <c r="I85" s="5" t="n"/>
      <c r="J85" s="5" t="n"/>
      <c r="K85" s="5" t="n"/>
      <c r="L85" s="5" t="n"/>
    </row>
    <row r="86">
      <c r="A86" s="4" t="n"/>
      <c r="B86" s="5" t="n"/>
      <c r="C86" s="5" t="n"/>
      <c r="D86" s="5" t="n"/>
      <c r="E86" s="5" t="n"/>
      <c r="F86" s="5" t="n"/>
      <c r="G86" s="12">
        <f>IF(AND(E86&lt;&gt;"",F86&lt;&gt;""),E86/(E86+F86),"")</f>
        <v/>
      </c>
      <c r="H86" s="5" t="n"/>
      <c r="I86" s="5" t="n"/>
      <c r="J86" s="5" t="n"/>
      <c r="K86" s="5" t="n"/>
      <c r="L86" s="5" t="n"/>
    </row>
    <row r="87">
      <c r="A87" s="4" t="n"/>
      <c r="B87" s="5" t="n"/>
      <c r="C87" s="5" t="n"/>
      <c r="D87" s="5" t="n"/>
      <c r="E87" s="5" t="n"/>
      <c r="F87" s="5" t="n"/>
      <c r="G87" s="12">
        <f>IF(AND(E87&lt;&gt;"",F87&lt;&gt;""),E87/(E87+F87),"")</f>
        <v/>
      </c>
      <c r="H87" s="5" t="n"/>
      <c r="I87" s="5" t="n"/>
      <c r="J87" s="5" t="n"/>
      <c r="K87" s="5" t="n"/>
      <c r="L87" s="5" t="n"/>
    </row>
    <row r="88">
      <c r="A88" s="4" t="n"/>
      <c r="B88" s="5" t="n"/>
      <c r="C88" s="5" t="n"/>
      <c r="D88" s="5" t="n"/>
      <c r="E88" s="5" t="n"/>
      <c r="F88" s="5" t="n"/>
      <c r="G88" s="12">
        <f>IF(AND(E88&lt;&gt;"",F88&lt;&gt;""),E88/(E88+F88),"")</f>
        <v/>
      </c>
      <c r="H88" s="5" t="n"/>
      <c r="I88" s="5" t="n"/>
      <c r="J88" s="5" t="n"/>
      <c r="K88" s="5" t="n"/>
      <c r="L88" s="5" t="n"/>
    </row>
    <row r="89">
      <c r="A89" s="4" t="n"/>
      <c r="B89" s="5" t="n"/>
      <c r="C89" s="5" t="n"/>
      <c r="D89" s="5" t="n"/>
      <c r="E89" s="5" t="n"/>
      <c r="F89" s="5" t="n"/>
      <c r="G89" s="12">
        <f>IF(AND(E89&lt;&gt;"",F89&lt;&gt;""),E89/(E89+F89),"")</f>
        <v/>
      </c>
      <c r="H89" s="5" t="n"/>
      <c r="I89" s="5" t="n"/>
      <c r="J89" s="5" t="n"/>
      <c r="K89" s="5" t="n"/>
      <c r="L89" s="5" t="n"/>
    </row>
    <row r="90">
      <c r="A90" s="4" t="n"/>
      <c r="B90" s="5" t="n"/>
      <c r="C90" s="5" t="n"/>
      <c r="D90" s="5" t="n"/>
      <c r="E90" s="5" t="n"/>
      <c r="F90" s="5" t="n"/>
      <c r="G90" s="12">
        <f>IF(AND(E90&lt;&gt;"",F90&lt;&gt;""),E90/(E90+F90),"")</f>
        <v/>
      </c>
      <c r="H90" s="5" t="n"/>
      <c r="I90" s="5" t="n"/>
      <c r="J90" s="5" t="n"/>
      <c r="K90" s="5" t="n"/>
      <c r="L90" s="5" t="n"/>
    </row>
    <row r="91">
      <c r="A91" s="4" t="n"/>
      <c r="B91" s="5" t="n"/>
      <c r="C91" s="5" t="n"/>
      <c r="D91" s="5" t="n"/>
      <c r="E91" s="5" t="n"/>
      <c r="F91" s="5" t="n"/>
      <c r="G91" s="12">
        <f>IF(AND(E91&lt;&gt;"",F91&lt;&gt;""),E91/(E91+F91),"")</f>
        <v/>
      </c>
      <c r="H91" s="5" t="n"/>
      <c r="I91" s="5" t="n"/>
      <c r="J91" s="5" t="n"/>
      <c r="K91" s="5" t="n"/>
      <c r="L91" s="5" t="n"/>
    </row>
    <row r="92">
      <c r="A92" s="4" t="n"/>
      <c r="B92" s="5" t="n"/>
      <c r="C92" s="5" t="n"/>
      <c r="D92" s="5" t="n"/>
      <c r="E92" s="5" t="n"/>
      <c r="F92" s="5" t="n"/>
      <c r="G92" s="12">
        <f>IF(AND(E92&lt;&gt;"",F92&lt;&gt;""),E92/(E92+F92),"")</f>
        <v/>
      </c>
      <c r="H92" s="5" t="n"/>
      <c r="I92" s="5" t="n"/>
      <c r="J92" s="5" t="n"/>
      <c r="K92" s="5" t="n"/>
      <c r="L92" s="5" t="n"/>
    </row>
    <row r="93">
      <c r="A93" s="4" t="n"/>
      <c r="B93" s="5" t="n"/>
      <c r="C93" s="5" t="n"/>
      <c r="D93" s="5" t="n"/>
      <c r="E93" s="5" t="n"/>
      <c r="F93" s="5" t="n"/>
      <c r="G93" s="12">
        <f>IF(AND(E93&lt;&gt;"",F93&lt;&gt;""),E93/(E93+F93),"")</f>
        <v/>
      </c>
      <c r="H93" s="5" t="n"/>
      <c r="I93" s="5" t="n"/>
      <c r="J93" s="5" t="n"/>
      <c r="K93" s="5" t="n"/>
      <c r="L93" s="5" t="n"/>
    </row>
    <row r="94">
      <c r="A94" s="4" t="n"/>
      <c r="B94" s="5" t="n"/>
      <c r="C94" s="5" t="n"/>
      <c r="D94" s="5" t="n"/>
      <c r="E94" s="5" t="n"/>
      <c r="F94" s="5" t="n"/>
      <c r="G94" s="12">
        <f>IF(AND(E94&lt;&gt;"",F94&lt;&gt;""),E94/(E94+F94),"")</f>
        <v/>
      </c>
      <c r="H94" s="5" t="n"/>
      <c r="I94" s="5" t="n"/>
      <c r="J94" s="5" t="n"/>
      <c r="K94" s="5" t="n"/>
      <c r="L94" s="5" t="n"/>
    </row>
    <row r="95">
      <c r="A95" s="4" t="n"/>
      <c r="B95" s="5" t="n"/>
      <c r="C95" s="5" t="n"/>
      <c r="D95" s="5" t="n"/>
      <c r="E95" s="5" t="n"/>
      <c r="F95" s="5" t="n"/>
      <c r="G95" s="12">
        <f>IF(AND(E95&lt;&gt;"",F95&lt;&gt;""),E95/(E95+F95),"")</f>
        <v/>
      </c>
      <c r="H95" s="5" t="n"/>
      <c r="I95" s="5" t="n"/>
      <c r="J95" s="5" t="n"/>
      <c r="K95" s="5" t="n"/>
      <c r="L95" s="5" t="n"/>
    </row>
    <row r="96">
      <c r="A96" s="4" t="n"/>
      <c r="B96" s="5" t="n"/>
      <c r="C96" s="5" t="n"/>
      <c r="D96" s="5" t="n"/>
      <c r="E96" s="5" t="n"/>
      <c r="F96" s="5" t="n"/>
      <c r="G96" s="12">
        <f>IF(AND(E96&lt;&gt;"",F96&lt;&gt;""),E96/(E96+F96),"")</f>
        <v/>
      </c>
      <c r="H96" s="5" t="n"/>
      <c r="I96" s="5" t="n"/>
      <c r="J96" s="5" t="n"/>
      <c r="K96" s="5" t="n"/>
      <c r="L96" s="5" t="n"/>
    </row>
    <row r="97">
      <c r="A97" s="4" t="n"/>
      <c r="B97" s="5" t="n"/>
      <c r="C97" s="5" t="n"/>
      <c r="D97" s="5" t="n"/>
      <c r="E97" s="5" t="n"/>
      <c r="F97" s="5" t="n"/>
      <c r="G97" s="12">
        <f>IF(AND(E97&lt;&gt;"",F97&lt;&gt;""),E97/(E97+F97),"")</f>
        <v/>
      </c>
      <c r="H97" s="5" t="n"/>
      <c r="I97" s="5" t="n"/>
      <c r="J97" s="5" t="n"/>
      <c r="K97" s="5" t="n"/>
      <c r="L97" s="5" t="n"/>
    </row>
    <row r="98">
      <c r="A98" s="4" t="n"/>
      <c r="B98" s="5" t="n"/>
      <c r="C98" s="5" t="n"/>
      <c r="D98" s="5" t="n"/>
      <c r="E98" s="5" t="n"/>
      <c r="F98" s="5" t="n"/>
      <c r="G98" s="12">
        <f>IF(AND(E98&lt;&gt;"",F98&lt;&gt;""),E98/(E98+F98),"")</f>
        <v/>
      </c>
      <c r="H98" s="5" t="n"/>
      <c r="I98" s="5" t="n"/>
      <c r="J98" s="5" t="n"/>
      <c r="K98" s="5" t="n"/>
      <c r="L98" s="5" t="n"/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PERFORMANCE METRICS</t>
        </is>
      </c>
    </row>
    <row r="2" ht="30" customHeight="1">
      <c r="A2" s="6" t="inlineStr">
        <is>
          <t>Key performance indicators for log analysis and review program</t>
        </is>
      </c>
    </row>
    <row r="4">
      <c r="A4" s="6" t="inlineStr">
        <is>
          <t>CURRENT PERIOD METRICS</t>
        </is>
      </c>
    </row>
    <row r="6">
      <c r="A6" s="8" t="inlineStr">
        <is>
          <t>Metric</t>
        </is>
      </c>
      <c r="B6" s="8" t="inlineStr">
        <is>
          <t>Value</t>
        </is>
      </c>
      <c r="C6" s="8" t="inlineStr">
        <is>
          <t>Target</t>
        </is>
      </c>
      <c r="D6" s="8" t="inlineStr">
        <is>
          <t>Status</t>
        </is>
      </c>
    </row>
    <row r="7">
      <c r="A7" s="2" t="inlineStr">
        <is>
          <t>Avg True Positive Rate</t>
        </is>
      </c>
      <c r="B7" s="12">
        <f>AVERAGE('Continuous Monitoring'!G9:G98)</f>
        <v/>
      </c>
      <c r="C7" s="14" t="inlineStr">
        <is>
          <t>&gt;50%</t>
        </is>
      </c>
      <c r="D7" s="10">
        <f>IF(B{row}&gt;0,"✓","✗")</f>
        <v/>
      </c>
    </row>
    <row r="8">
      <c r="A8" s="2" t="inlineStr">
        <is>
          <t>Avg MTTD (hours)</t>
        </is>
      </c>
      <c r="B8" s="10">
        <f>AVERAGE('Continuous Monitoring'!H9:H98)</f>
        <v/>
      </c>
      <c r="C8" s="14" t="inlineStr">
        <is>
          <t>&lt;1</t>
        </is>
      </c>
      <c r="D8" s="10">
        <f>IF(B{row}&gt;0,"✓","✗")</f>
        <v/>
      </c>
    </row>
    <row r="9">
      <c r="A9" s="2" t="inlineStr">
        <is>
          <t>Avg MTTR (hours)</t>
        </is>
      </c>
      <c r="B9" s="10">
        <f>AVERAGE('Continuous Monitoring'!I9:I98)</f>
        <v/>
      </c>
      <c r="C9" s="14" t="inlineStr">
        <is>
          <t>&lt;4</t>
        </is>
      </c>
      <c r="D9" s="10">
        <f>IF(B{row}&gt;0,"✓","✗")</f>
        <v/>
      </c>
    </row>
    <row r="10">
      <c r="A10" s="2" t="inlineStr">
        <is>
          <t>Total Incidents</t>
        </is>
      </c>
      <c r="B10" s="10">
        <f>COUNTA('Investigation Workflow'!A9:A208)</f>
        <v/>
      </c>
      <c r="C10" s="14" t="inlineStr">
        <is>
          <t>N/A</t>
        </is>
      </c>
      <c r="D10" s="10">
        <f>IF(B{row}&gt;0,"✓","✗")</f>
        <v/>
      </c>
    </row>
    <row r="11">
      <c r="A11" s="2" t="inlineStr">
        <is>
          <t>Critical Incidents</t>
        </is>
      </c>
      <c r="B11" s="10">
        <f>COUNTIF('Investigation Workflow'!D:D,"Critical")</f>
        <v/>
      </c>
      <c r="C11" s="14" t="inlineStr">
        <is>
          <t>Minimize</t>
        </is>
      </c>
      <c r="D11" s="10">
        <f>IF(B{row}&gt;0,"✓","✗")</f>
        <v/>
      </c>
    </row>
    <row r="12">
      <c r="A12" s="2" t="inlineStr">
        <is>
          <t>Review Completion Rate</t>
        </is>
      </c>
      <c r="B12" s="12">
        <f>COUNTIF('Log Review Schedule'!I:I,"On Schedule")/COUNTA('Log Review Schedule'!I9:I100)</f>
        <v/>
      </c>
      <c r="C12" s="14" t="inlineStr">
        <is>
          <t>&gt;95%</t>
        </is>
      </c>
      <c r="D12" s="10">
        <f>IF(B{row}&gt;0,"✓","✗")</f>
        <v/>
      </c>
    </row>
    <row r="13">
      <c r="A13" s="2" t="inlineStr">
        <is>
          <t>Alerts Requiring Tuning</t>
        </is>
      </c>
      <c r="B13" s="10">
        <f>COUNTIF('Alert Management'!L:L,"Yes")</f>
        <v/>
      </c>
      <c r="C13" s="14" t="inlineStr">
        <is>
          <t>Minimize</t>
        </is>
      </c>
      <c r="D13" s="10">
        <f>IF(B{row}&gt;0,"✓","✗")</f>
        <v/>
      </c>
    </row>
    <row r="14">
      <c r="A14" s="2" t="inlineStr">
        <is>
          <t>Playbook Coverage</t>
        </is>
      </c>
      <c r="B14" s="12">
        <f>COUNTIF('Alert Management'!M:M,"Yes")/COUNTA('Alert Management'!M9:M150)</f>
        <v/>
      </c>
      <c r="C14" s="14" t="inlineStr">
        <is>
          <t>100%</t>
        </is>
      </c>
      <c r="D14" s="10">
        <f>IF(B{row}&gt;0,"✓","✗")</f>
        <v/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0" customWidth="1" min="4" max="4"/>
    <col width="25" customWidth="1" min="5" max="5"/>
    <col width="15" customWidth="1" min="6" max="6"/>
    <col width="50" customWidth="1" min="7" max="7"/>
    <col width="25" customWidth="1" min="8" max="8"/>
    <col width="15" customWidth="1" min="9" max="9"/>
    <col width="15" customWidth="1" min="10" max="10"/>
    <col width="15" customWidth="1" min="11" max="11"/>
    <col width="40" customWidth="1" min="12" max="12"/>
  </cols>
  <sheetData>
    <row r="1" ht="40" customHeight="1">
      <c r="A1" s="1" t="inlineStr">
        <is>
          <t>GAP ANALYSIS</t>
        </is>
      </c>
    </row>
    <row r="2" ht="30" customHeight="1">
      <c r="A2" s="6" t="inlineStr">
        <is>
          <t>Identify gaps in log analysis and review capabilities</t>
        </is>
      </c>
    </row>
    <row r="7" ht="35" customHeight="1">
      <c r="A7" s="8" t="inlineStr">
        <is>
          <t>Gap ID</t>
        </is>
      </c>
      <c r="B7" s="8" t="inlineStr">
        <is>
          <t>Gap Category</t>
        </is>
      </c>
      <c r="C7" s="8" t="inlineStr">
        <is>
          <t>Description</t>
        </is>
      </c>
      <c r="D7" s="8" t="inlineStr">
        <is>
          <t>Impact</t>
        </is>
      </c>
      <c r="E7" s="8" t="inlineStr">
        <is>
          <t>Policy Requirement</t>
        </is>
      </c>
      <c r="F7" s="8" t="inlineStr">
        <is>
          <t>Priority</t>
        </is>
      </c>
      <c r="G7" s="8" t="inlineStr">
        <is>
          <t>Remediation Action</t>
        </is>
      </c>
      <c r="H7" s="8" t="inlineStr">
        <is>
          <t>Owner</t>
        </is>
      </c>
      <c r="I7" s="8" t="inlineStr">
        <is>
          <t>Target Date</t>
        </is>
      </c>
      <c r="J7" s="8" t="inlineStr">
        <is>
          <t>Budget Required</t>
        </is>
      </c>
      <c r="K7" s="8" t="inlineStr">
        <is>
          <t>Status</t>
        </is>
      </c>
      <c r="L7" s="8" t="inlineStr">
        <is>
          <t>Notes</t>
        </is>
      </c>
    </row>
    <row r="8">
      <c r="A8" s="9" t="inlineStr">
        <is>
          <t>GAP-001</t>
        </is>
      </c>
      <c r="B8" s="9" t="inlineStr">
        <is>
          <t>Alert Tuning</t>
        </is>
      </c>
      <c r="C8" s="9" t="inlineStr">
        <is>
          <t>High false positive rate for network alerts</t>
        </is>
      </c>
      <c r="D8" s="9" t="inlineStr">
        <is>
          <t>Analyst fatigue, missed real threats</t>
        </is>
      </c>
      <c r="E8" s="9" t="inlineStr">
        <is>
          <t>S2.4.3</t>
        </is>
      </c>
      <c r="F8" s="9" t="inlineStr">
        <is>
          <t>High</t>
        </is>
      </c>
      <c r="G8" s="9" t="inlineStr">
        <is>
          <t>Tune network alert thresholds, add context enrichment</t>
        </is>
      </c>
      <c r="H8" s="9" t="inlineStr">
        <is>
          <t>SOC Lead</t>
        </is>
      </c>
      <c r="I8" s="9" t="inlineStr">
        <is>
          <t>28.02.2026</t>
        </is>
      </c>
      <c r="J8" s="9" t="inlineStr">
        <is>
          <t>No</t>
        </is>
      </c>
      <c r="K8" s="9" t="inlineStr">
        <is>
          <t>In Progress</t>
        </is>
      </c>
      <c r="L8" s="9" t="inlineStr">
        <is>
          <t>Working with vendor support</t>
        </is>
      </c>
    </row>
    <row r="9">
      <c r="A9" s="10">
        <f>IF(B9&lt;&gt;"","GAP-"&amp;TEXT(ROW()-8,"000"),"")</f>
        <v/>
      </c>
      <c r="B9" s="5" t="n"/>
      <c r="C9" s="5" t="n"/>
      <c r="D9" s="5" t="n"/>
      <c r="E9" s="5" t="n"/>
      <c r="F9" s="5" t="n"/>
      <c r="G9" s="5" t="n"/>
      <c r="H9" s="5" t="n"/>
      <c r="I9" s="4" t="n"/>
      <c r="J9" s="5" t="n"/>
      <c r="K9" s="5" t="n"/>
      <c r="L9" s="5" t="n"/>
    </row>
    <row r="10">
      <c r="A10" s="10">
        <f>IF(B10&lt;&gt;"","GAP-"&amp;TEXT(ROW()-8,"000"),"")</f>
        <v/>
      </c>
      <c r="B10" s="5" t="n"/>
      <c r="C10" s="5" t="n"/>
      <c r="D10" s="5" t="n"/>
      <c r="E10" s="5" t="n"/>
      <c r="F10" s="5" t="n"/>
      <c r="G10" s="5" t="n"/>
      <c r="H10" s="5" t="n"/>
      <c r="I10" s="4" t="n"/>
      <c r="J10" s="5" t="n"/>
      <c r="K10" s="5" t="n"/>
      <c r="L10" s="5" t="n"/>
    </row>
    <row r="11">
      <c r="A11" s="10">
        <f>IF(B11&lt;&gt;"","GAP-"&amp;TEXT(ROW()-8,"000"),"")</f>
        <v/>
      </c>
      <c r="B11" s="5" t="n"/>
      <c r="C11" s="5" t="n"/>
      <c r="D11" s="5" t="n"/>
      <c r="E11" s="5" t="n"/>
      <c r="F11" s="5" t="n"/>
      <c r="G11" s="5" t="n"/>
      <c r="H11" s="5" t="n"/>
      <c r="I11" s="4" t="n"/>
      <c r="J11" s="5" t="n"/>
      <c r="K11" s="5" t="n"/>
      <c r="L11" s="5" t="n"/>
    </row>
    <row r="12">
      <c r="A12" s="10">
        <f>IF(B12&lt;&gt;"","GAP-"&amp;TEXT(ROW()-8,"000"),"")</f>
        <v/>
      </c>
      <c r="B12" s="5" t="n"/>
      <c r="C12" s="5" t="n"/>
      <c r="D12" s="5" t="n"/>
      <c r="E12" s="5" t="n"/>
      <c r="F12" s="5" t="n"/>
      <c r="G12" s="5" t="n"/>
      <c r="H12" s="5" t="n"/>
      <c r="I12" s="4" t="n"/>
      <c r="J12" s="5" t="n"/>
      <c r="K12" s="5" t="n"/>
      <c r="L12" s="5" t="n"/>
    </row>
    <row r="13">
      <c r="A13" s="10">
        <f>IF(B13&lt;&gt;"","GAP-"&amp;TEXT(ROW()-8,"000"),"")</f>
        <v/>
      </c>
      <c r="B13" s="5" t="n"/>
      <c r="C13" s="5" t="n"/>
      <c r="D13" s="5" t="n"/>
      <c r="E13" s="5" t="n"/>
      <c r="F13" s="5" t="n"/>
      <c r="G13" s="5" t="n"/>
      <c r="H13" s="5" t="n"/>
      <c r="I13" s="4" t="n"/>
      <c r="J13" s="5" t="n"/>
      <c r="K13" s="5" t="n"/>
      <c r="L13" s="5" t="n"/>
    </row>
    <row r="14">
      <c r="A14" s="10">
        <f>IF(B14&lt;&gt;"","GAP-"&amp;TEXT(ROW()-8,"000"),"")</f>
        <v/>
      </c>
      <c r="B14" s="5" t="n"/>
      <c r="C14" s="5" t="n"/>
      <c r="D14" s="5" t="n"/>
      <c r="E14" s="5" t="n"/>
      <c r="F14" s="5" t="n"/>
      <c r="G14" s="5" t="n"/>
      <c r="H14" s="5" t="n"/>
      <c r="I14" s="4" t="n"/>
      <c r="J14" s="5" t="n"/>
      <c r="K14" s="5" t="n"/>
      <c r="L14" s="5" t="n"/>
    </row>
    <row r="15">
      <c r="A15" s="10">
        <f>IF(B15&lt;&gt;"","GAP-"&amp;TEXT(ROW()-8,"000"),"")</f>
        <v/>
      </c>
      <c r="B15" s="5" t="n"/>
      <c r="C15" s="5" t="n"/>
      <c r="D15" s="5" t="n"/>
      <c r="E15" s="5" t="n"/>
      <c r="F15" s="5" t="n"/>
      <c r="G15" s="5" t="n"/>
      <c r="H15" s="5" t="n"/>
      <c r="I15" s="4" t="n"/>
      <c r="J15" s="5" t="n"/>
      <c r="K15" s="5" t="n"/>
      <c r="L15" s="5" t="n"/>
    </row>
    <row r="16">
      <c r="A16" s="10">
        <f>IF(B16&lt;&gt;"","GAP-"&amp;TEXT(ROW()-8,"000"),"")</f>
        <v/>
      </c>
      <c r="B16" s="5" t="n"/>
      <c r="C16" s="5" t="n"/>
      <c r="D16" s="5" t="n"/>
      <c r="E16" s="5" t="n"/>
      <c r="F16" s="5" t="n"/>
      <c r="G16" s="5" t="n"/>
      <c r="H16" s="5" t="n"/>
      <c r="I16" s="4" t="n"/>
      <c r="J16" s="5" t="n"/>
      <c r="K16" s="5" t="n"/>
      <c r="L16" s="5" t="n"/>
    </row>
    <row r="17">
      <c r="A17" s="10">
        <f>IF(B17&lt;&gt;"","GAP-"&amp;TEXT(ROW()-8,"000"),"")</f>
        <v/>
      </c>
      <c r="B17" s="5" t="n"/>
      <c r="C17" s="5" t="n"/>
      <c r="D17" s="5" t="n"/>
      <c r="E17" s="5" t="n"/>
      <c r="F17" s="5" t="n"/>
      <c r="G17" s="5" t="n"/>
      <c r="H17" s="5" t="n"/>
      <c r="I17" s="4" t="n"/>
      <c r="J17" s="5" t="n"/>
      <c r="K17" s="5" t="n"/>
      <c r="L17" s="5" t="n"/>
    </row>
    <row r="18">
      <c r="A18" s="10">
        <f>IF(B18&lt;&gt;"","GAP-"&amp;TEXT(ROW()-8,"000"),"")</f>
        <v/>
      </c>
      <c r="B18" s="5" t="n"/>
      <c r="C18" s="5" t="n"/>
      <c r="D18" s="5" t="n"/>
      <c r="E18" s="5" t="n"/>
      <c r="F18" s="5" t="n"/>
      <c r="G18" s="5" t="n"/>
      <c r="H18" s="5" t="n"/>
      <c r="I18" s="4" t="n"/>
      <c r="J18" s="5" t="n"/>
      <c r="K18" s="5" t="n"/>
      <c r="L18" s="5" t="n"/>
    </row>
    <row r="19">
      <c r="A19" s="10">
        <f>IF(B19&lt;&gt;"","GAP-"&amp;TEXT(ROW()-8,"000"),"")</f>
        <v/>
      </c>
      <c r="B19" s="5" t="n"/>
      <c r="C19" s="5" t="n"/>
      <c r="D19" s="5" t="n"/>
      <c r="E19" s="5" t="n"/>
      <c r="F19" s="5" t="n"/>
      <c r="G19" s="5" t="n"/>
      <c r="H19" s="5" t="n"/>
      <c r="I19" s="4" t="n"/>
      <c r="J19" s="5" t="n"/>
      <c r="K19" s="5" t="n"/>
      <c r="L19" s="5" t="n"/>
    </row>
    <row r="20">
      <c r="A20" s="10">
        <f>IF(B20&lt;&gt;"","GAP-"&amp;TEXT(ROW()-8,"000"),"")</f>
        <v/>
      </c>
      <c r="B20" s="5" t="n"/>
      <c r="C20" s="5" t="n"/>
      <c r="D20" s="5" t="n"/>
      <c r="E20" s="5" t="n"/>
      <c r="F20" s="5" t="n"/>
      <c r="G20" s="5" t="n"/>
      <c r="H20" s="5" t="n"/>
      <c r="I20" s="4" t="n"/>
      <c r="J20" s="5" t="n"/>
      <c r="K20" s="5" t="n"/>
      <c r="L20" s="5" t="n"/>
    </row>
    <row r="21">
      <c r="A21" s="10">
        <f>IF(B21&lt;&gt;"","GAP-"&amp;TEXT(ROW()-8,"000"),"")</f>
        <v/>
      </c>
      <c r="B21" s="5" t="n"/>
      <c r="C21" s="5" t="n"/>
      <c r="D21" s="5" t="n"/>
      <c r="E21" s="5" t="n"/>
      <c r="F21" s="5" t="n"/>
      <c r="G21" s="5" t="n"/>
      <c r="H21" s="5" t="n"/>
      <c r="I21" s="4" t="n"/>
      <c r="J21" s="5" t="n"/>
      <c r="K21" s="5" t="n"/>
      <c r="L21" s="5" t="n"/>
    </row>
    <row r="22">
      <c r="A22" s="10">
        <f>IF(B22&lt;&gt;"","GAP-"&amp;TEXT(ROW()-8,"000"),"")</f>
        <v/>
      </c>
      <c r="B22" s="5" t="n"/>
      <c r="C22" s="5" t="n"/>
      <c r="D22" s="5" t="n"/>
      <c r="E22" s="5" t="n"/>
      <c r="F22" s="5" t="n"/>
      <c r="G22" s="5" t="n"/>
      <c r="H22" s="5" t="n"/>
      <c r="I22" s="4" t="n"/>
      <c r="J22" s="5" t="n"/>
      <c r="K22" s="5" t="n"/>
      <c r="L22" s="5" t="n"/>
    </row>
    <row r="23">
      <c r="A23" s="10">
        <f>IF(B23&lt;&gt;"","GAP-"&amp;TEXT(ROW()-8,"000"),"")</f>
        <v/>
      </c>
      <c r="B23" s="5" t="n"/>
      <c r="C23" s="5" t="n"/>
      <c r="D23" s="5" t="n"/>
      <c r="E23" s="5" t="n"/>
      <c r="F23" s="5" t="n"/>
      <c r="G23" s="5" t="n"/>
      <c r="H23" s="5" t="n"/>
      <c r="I23" s="4" t="n"/>
      <c r="J23" s="5" t="n"/>
      <c r="K23" s="5" t="n"/>
      <c r="L23" s="5" t="n"/>
    </row>
    <row r="24">
      <c r="A24" s="10">
        <f>IF(B24&lt;&gt;"","GAP-"&amp;TEXT(ROW()-8,"000"),"")</f>
        <v/>
      </c>
      <c r="B24" s="5" t="n"/>
      <c r="C24" s="5" t="n"/>
      <c r="D24" s="5" t="n"/>
      <c r="E24" s="5" t="n"/>
      <c r="F24" s="5" t="n"/>
      <c r="G24" s="5" t="n"/>
      <c r="H24" s="5" t="n"/>
      <c r="I24" s="4" t="n"/>
      <c r="J24" s="5" t="n"/>
      <c r="K24" s="5" t="n"/>
      <c r="L24" s="5" t="n"/>
    </row>
    <row r="25">
      <c r="A25" s="10">
        <f>IF(B25&lt;&gt;"","GAP-"&amp;TEXT(ROW()-8,"000"),"")</f>
        <v/>
      </c>
      <c r="B25" s="5" t="n"/>
      <c r="C25" s="5" t="n"/>
      <c r="D25" s="5" t="n"/>
      <c r="E25" s="5" t="n"/>
      <c r="F25" s="5" t="n"/>
      <c r="G25" s="5" t="n"/>
      <c r="H25" s="5" t="n"/>
      <c r="I25" s="4" t="n"/>
      <c r="J25" s="5" t="n"/>
      <c r="K25" s="5" t="n"/>
      <c r="L25" s="5" t="n"/>
    </row>
    <row r="26">
      <c r="A26" s="10">
        <f>IF(B26&lt;&gt;"","GAP-"&amp;TEXT(ROW()-8,"000"),"")</f>
        <v/>
      </c>
      <c r="B26" s="5" t="n"/>
      <c r="C26" s="5" t="n"/>
      <c r="D26" s="5" t="n"/>
      <c r="E26" s="5" t="n"/>
      <c r="F26" s="5" t="n"/>
      <c r="G26" s="5" t="n"/>
      <c r="H26" s="5" t="n"/>
      <c r="I26" s="4" t="n"/>
      <c r="J26" s="5" t="n"/>
      <c r="K26" s="5" t="n"/>
      <c r="L26" s="5" t="n"/>
    </row>
    <row r="27">
      <c r="A27" s="10">
        <f>IF(B27&lt;&gt;"","GAP-"&amp;TEXT(ROW()-8,"000"),"")</f>
        <v/>
      </c>
      <c r="B27" s="5" t="n"/>
      <c r="C27" s="5" t="n"/>
      <c r="D27" s="5" t="n"/>
      <c r="E27" s="5" t="n"/>
      <c r="F27" s="5" t="n"/>
      <c r="G27" s="5" t="n"/>
      <c r="H27" s="5" t="n"/>
      <c r="I27" s="4" t="n"/>
      <c r="J27" s="5" t="n"/>
      <c r="K27" s="5" t="n"/>
      <c r="L27" s="5" t="n"/>
    </row>
    <row r="28">
      <c r="A28" s="10">
        <f>IF(B28&lt;&gt;"","GAP-"&amp;TEXT(ROW()-8,"000"),"")</f>
        <v/>
      </c>
      <c r="B28" s="5" t="n"/>
      <c r="C28" s="5" t="n"/>
      <c r="D28" s="5" t="n"/>
      <c r="E28" s="5" t="n"/>
      <c r="F28" s="5" t="n"/>
      <c r="G28" s="5" t="n"/>
      <c r="H28" s="5" t="n"/>
      <c r="I28" s="4" t="n"/>
      <c r="J28" s="5" t="n"/>
      <c r="K28" s="5" t="n"/>
      <c r="L28" s="5" t="n"/>
    </row>
    <row r="29">
      <c r="A29" s="10">
        <f>IF(B29&lt;&gt;"","GAP-"&amp;TEXT(ROW()-8,"000"),"")</f>
        <v/>
      </c>
      <c r="B29" s="5" t="n"/>
      <c r="C29" s="5" t="n"/>
      <c r="D29" s="5" t="n"/>
      <c r="E29" s="5" t="n"/>
      <c r="F29" s="5" t="n"/>
      <c r="G29" s="5" t="n"/>
      <c r="H29" s="5" t="n"/>
      <c r="I29" s="4" t="n"/>
      <c r="J29" s="5" t="n"/>
      <c r="K29" s="5" t="n"/>
      <c r="L29" s="5" t="n"/>
    </row>
    <row r="30">
      <c r="A30" s="10">
        <f>IF(B30&lt;&gt;"","GAP-"&amp;TEXT(ROW()-8,"000"),"")</f>
        <v/>
      </c>
      <c r="B30" s="5" t="n"/>
      <c r="C30" s="5" t="n"/>
      <c r="D30" s="5" t="n"/>
      <c r="E30" s="5" t="n"/>
      <c r="F30" s="5" t="n"/>
      <c r="G30" s="5" t="n"/>
      <c r="H30" s="5" t="n"/>
      <c r="I30" s="4" t="n"/>
      <c r="J30" s="5" t="n"/>
      <c r="K30" s="5" t="n"/>
      <c r="L30" s="5" t="n"/>
    </row>
    <row r="31">
      <c r="A31" s="10">
        <f>IF(B31&lt;&gt;"","GAP-"&amp;TEXT(ROW()-8,"000"),"")</f>
        <v/>
      </c>
      <c r="B31" s="5" t="n"/>
      <c r="C31" s="5" t="n"/>
      <c r="D31" s="5" t="n"/>
      <c r="E31" s="5" t="n"/>
      <c r="F31" s="5" t="n"/>
      <c r="G31" s="5" t="n"/>
      <c r="H31" s="5" t="n"/>
      <c r="I31" s="4" t="n"/>
      <c r="J31" s="5" t="n"/>
      <c r="K31" s="5" t="n"/>
      <c r="L31" s="5" t="n"/>
    </row>
    <row r="32">
      <c r="A32" s="10">
        <f>IF(B32&lt;&gt;"","GAP-"&amp;TEXT(ROW()-8,"000"),"")</f>
        <v/>
      </c>
      <c r="B32" s="5" t="n"/>
      <c r="C32" s="5" t="n"/>
      <c r="D32" s="5" t="n"/>
      <c r="E32" s="5" t="n"/>
      <c r="F32" s="5" t="n"/>
      <c r="G32" s="5" t="n"/>
      <c r="H32" s="5" t="n"/>
      <c r="I32" s="4" t="n"/>
      <c r="J32" s="5" t="n"/>
      <c r="K32" s="5" t="n"/>
      <c r="L32" s="5" t="n"/>
    </row>
    <row r="33">
      <c r="A33" s="10">
        <f>IF(B33&lt;&gt;"","GAP-"&amp;TEXT(ROW()-8,"000"),"")</f>
        <v/>
      </c>
      <c r="B33" s="5" t="n"/>
      <c r="C33" s="5" t="n"/>
      <c r="D33" s="5" t="n"/>
      <c r="E33" s="5" t="n"/>
      <c r="F33" s="5" t="n"/>
      <c r="G33" s="5" t="n"/>
      <c r="H33" s="5" t="n"/>
      <c r="I33" s="4" t="n"/>
      <c r="J33" s="5" t="n"/>
      <c r="K33" s="5" t="n"/>
      <c r="L33" s="5" t="n"/>
    </row>
    <row r="34">
      <c r="A34" s="10">
        <f>IF(B34&lt;&gt;"","GAP-"&amp;TEXT(ROW()-8,"000"),"")</f>
        <v/>
      </c>
      <c r="B34" s="5" t="n"/>
      <c r="C34" s="5" t="n"/>
      <c r="D34" s="5" t="n"/>
      <c r="E34" s="5" t="n"/>
      <c r="F34" s="5" t="n"/>
      <c r="G34" s="5" t="n"/>
      <c r="H34" s="5" t="n"/>
      <c r="I34" s="4" t="n"/>
      <c r="J34" s="5" t="n"/>
      <c r="K34" s="5" t="n"/>
      <c r="L34" s="5" t="n"/>
    </row>
    <row r="35">
      <c r="A35" s="10">
        <f>IF(B35&lt;&gt;"","GAP-"&amp;TEXT(ROW()-8,"000"),"")</f>
        <v/>
      </c>
      <c r="B35" s="5" t="n"/>
      <c r="C35" s="5" t="n"/>
      <c r="D35" s="5" t="n"/>
      <c r="E35" s="5" t="n"/>
      <c r="F35" s="5" t="n"/>
      <c r="G35" s="5" t="n"/>
      <c r="H35" s="5" t="n"/>
      <c r="I35" s="4" t="n"/>
      <c r="J35" s="5" t="n"/>
      <c r="K35" s="5" t="n"/>
      <c r="L35" s="5" t="n"/>
    </row>
    <row r="36">
      <c r="A36" s="10">
        <f>IF(B36&lt;&gt;"","GAP-"&amp;TEXT(ROW()-8,"000"),"")</f>
        <v/>
      </c>
      <c r="B36" s="5" t="n"/>
      <c r="C36" s="5" t="n"/>
      <c r="D36" s="5" t="n"/>
      <c r="E36" s="5" t="n"/>
      <c r="F36" s="5" t="n"/>
      <c r="G36" s="5" t="n"/>
      <c r="H36" s="5" t="n"/>
      <c r="I36" s="4" t="n"/>
      <c r="J36" s="5" t="n"/>
      <c r="K36" s="5" t="n"/>
      <c r="L36" s="5" t="n"/>
    </row>
    <row r="37">
      <c r="A37" s="10">
        <f>IF(B37&lt;&gt;"","GAP-"&amp;TEXT(ROW()-8,"000"),"")</f>
        <v/>
      </c>
      <c r="B37" s="5" t="n"/>
      <c r="C37" s="5" t="n"/>
      <c r="D37" s="5" t="n"/>
      <c r="E37" s="5" t="n"/>
      <c r="F37" s="5" t="n"/>
      <c r="G37" s="5" t="n"/>
      <c r="H37" s="5" t="n"/>
      <c r="I37" s="4" t="n"/>
      <c r="J37" s="5" t="n"/>
      <c r="K37" s="5" t="n"/>
      <c r="L37" s="5" t="n"/>
    </row>
    <row r="38">
      <c r="A38" s="10">
        <f>IF(B38&lt;&gt;"","GAP-"&amp;TEXT(ROW()-8,"000"),"")</f>
        <v/>
      </c>
      <c r="B38" s="5" t="n"/>
      <c r="C38" s="5" t="n"/>
      <c r="D38" s="5" t="n"/>
      <c r="E38" s="5" t="n"/>
      <c r="F38" s="5" t="n"/>
      <c r="G38" s="5" t="n"/>
      <c r="H38" s="5" t="n"/>
      <c r="I38" s="4" t="n"/>
      <c r="J38" s="5" t="n"/>
      <c r="K38" s="5" t="n"/>
      <c r="L38" s="5" t="n"/>
    </row>
    <row r="39">
      <c r="A39" s="10">
        <f>IF(B39&lt;&gt;"","GAP-"&amp;TEXT(ROW()-8,"000"),"")</f>
        <v/>
      </c>
      <c r="B39" s="5" t="n"/>
      <c r="C39" s="5" t="n"/>
      <c r="D39" s="5" t="n"/>
      <c r="E39" s="5" t="n"/>
      <c r="F39" s="5" t="n"/>
      <c r="G39" s="5" t="n"/>
      <c r="H39" s="5" t="n"/>
      <c r="I39" s="4" t="n"/>
      <c r="J39" s="5" t="n"/>
      <c r="K39" s="5" t="n"/>
      <c r="L39" s="5" t="n"/>
    </row>
    <row r="40">
      <c r="A40" s="10">
        <f>IF(B40&lt;&gt;"","GAP-"&amp;TEXT(ROW()-8,"000"),"")</f>
        <v/>
      </c>
      <c r="B40" s="5" t="n"/>
      <c r="C40" s="5" t="n"/>
      <c r="D40" s="5" t="n"/>
      <c r="E40" s="5" t="n"/>
      <c r="F40" s="5" t="n"/>
      <c r="G40" s="5" t="n"/>
      <c r="H40" s="5" t="n"/>
      <c r="I40" s="4" t="n"/>
      <c r="J40" s="5" t="n"/>
      <c r="K40" s="5" t="n"/>
      <c r="L40" s="5" t="n"/>
    </row>
    <row r="41">
      <c r="A41" s="10">
        <f>IF(B41&lt;&gt;"","GAP-"&amp;TEXT(ROW()-8,"000"),"")</f>
        <v/>
      </c>
      <c r="B41" s="5" t="n"/>
      <c r="C41" s="5" t="n"/>
      <c r="D41" s="5" t="n"/>
      <c r="E41" s="5" t="n"/>
      <c r="F41" s="5" t="n"/>
      <c r="G41" s="5" t="n"/>
      <c r="H41" s="5" t="n"/>
      <c r="I41" s="4" t="n"/>
      <c r="J41" s="5" t="n"/>
      <c r="K41" s="5" t="n"/>
      <c r="L41" s="5" t="n"/>
    </row>
    <row r="42">
      <c r="A42" s="10">
        <f>IF(B42&lt;&gt;"","GAP-"&amp;TEXT(ROW()-8,"000"),"")</f>
        <v/>
      </c>
      <c r="B42" s="5" t="n"/>
      <c r="C42" s="5" t="n"/>
      <c r="D42" s="5" t="n"/>
      <c r="E42" s="5" t="n"/>
      <c r="F42" s="5" t="n"/>
      <c r="G42" s="5" t="n"/>
      <c r="H42" s="5" t="n"/>
      <c r="I42" s="4" t="n"/>
      <c r="J42" s="5" t="n"/>
      <c r="K42" s="5" t="n"/>
      <c r="L42" s="5" t="n"/>
    </row>
    <row r="43">
      <c r="A43" s="10">
        <f>IF(B43&lt;&gt;"","GAP-"&amp;TEXT(ROW()-8,"000"),"")</f>
        <v/>
      </c>
      <c r="B43" s="5" t="n"/>
      <c r="C43" s="5" t="n"/>
      <c r="D43" s="5" t="n"/>
      <c r="E43" s="5" t="n"/>
      <c r="F43" s="5" t="n"/>
      <c r="G43" s="5" t="n"/>
      <c r="H43" s="5" t="n"/>
      <c r="I43" s="4" t="n"/>
      <c r="J43" s="5" t="n"/>
      <c r="K43" s="5" t="n"/>
      <c r="L43" s="5" t="n"/>
    </row>
    <row r="44">
      <c r="A44" s="10">
        <f>IF(B44&lt;&gt;"","GAP-"&amp;TEXT(ROW()-8,"000"),"")</f>
        <v/>
      </c>
      <c r="B44" s="5" t="n"/>
      <c r="C44" s="5" t="n"/>
      <c r="D44" s="5" t="n"/>
      <c r="E44" s="5" t="n"/>
      <c r="F44" s="5" t="n"/>
      <c r="G44" s="5" t="n"/>
      <c r="H44" s="5" t="n"/>
      <c r="I44" s="4" t="n"/>
      <c r="J44" s="5" t="n"/>
      <c r="K44" s="5" t="n"/>
      <c r="L44" s="5" t="n"/>
    </row>
    <row r="45">
      <c r="A45" s="10">
        <f>IF(B45&lt;&gt;"","GAP-"&amp;TEXT(ROW()-8,"000"),"")</f>
        <v/>
      </c>
      <c r="B45" s="5" t="n"/>
      <c r="C45" s="5" t="n"/>
      <c r="D45" s="5" t="n"/>
      <c r="E45" s="5" t="n"/>
      <c r="F45" s="5" t="n"/>
      <c r="G45" s="5" t="n"/>
      <c r="H45" s="5" t="n"/>
      <c r="I45" s="4" t="n"/>
      <c r="J45" s="5" t="n"/>
      <c r="K45" s="5" t="n"/>
      <c r="L45" s="5" t="n"/>
    </row>
    <row r="46">
      <c r="A46" s="10">
        <f>IF(B46&lt;&gt;"","GAP-"&amp;TEXT(ROW()-8,"000"),"")</f>
        <v/>
      </c>
      <c r="B46" s="5" t="n"/>
      <c r="C46" s="5" t="n"/>
      <c r="D46" s="5" t="n"/>
      <c r="E46" s="5" t="n"/>
      <c r="F46" s="5" t="n"/>
      <c r="G46" s="5" t="n"/>
      <c r="H46" s="5" t="n"/>
      <c r="I46" s="4" t="n"/>
      <c r="J46" s="5" t="n"/>
      <c r="K46" s="5" t="n"/>
      <c r="L46" s="5" t="n"/>
    </row>
    <row r="47">
      <c r="A47" s="10">
        <f>IF(B47&lt;&gt;"","GAP-"&amp;TEXT(ROW()-8,"000"),"")</f>
        <v/>
      </c>
      <c r="B47" s="5" t="n"/>
      <c r="C47" s="5" t="n"/>
      <c r="D47" s="5" t="n"/>
      <c r="E47" s="5" t="n"/>
      <c r="F47" s="5" t="n"/>
      <c r="G47" s="5" t="n"/>
      <c r="H47" s="5" t="n"/>
      <c r="I47" s="4" t="n"/>
      <c r="J47" s="5" t="n"/>
      <c r="K47" s="5" t="n"/>
      <c r="L47" s="5" t="n"/>
    </row>
    <row r="48">
      <c r="A48" s="10">
        <f>IF(B48&lt;&gt;"","GAP-"&amp;TEXT(ROW()-8,"000"),"")</f>
        <v/>
      </c>
      <c r="B48" s="5" t="n"/>
      <c r="C48" s="5" t="n"/>
      <c r="D48" s="5" t="n"/>
      <c r="E48" s="5" t="n"/>
      <c r="F48" s="5" t="n"/>
      <c r="G48" s="5" t="n"/>
      <c r="H48" s="5" t="n"/>
      <c r="I48" s="4" t="n"/>
      <c r="J48" s="5" t="n"/>
      <c r="K48" s="5" t="n"/>
      <c r="L48" s="5" t="n"/>
    </row>
    <row r="49">
      <c r="A49" s="10">
        <f>IF(B49&lt;&gt;"","GAP-"&amp;TEXT(ROW()-8,"000"),"")</f>
        <v/>
      </c>
      <c r="B49" s="5" t="n"/>
      <c r="C49" s="5" t="n"/>
      <c r="D49" s="5" t="n"/>
      <c r="E49" s="5" t="n"/>
      <c r="F49" s="5" t="n"/>
      <c r="G49" s="5" t="n"/>
      <c r="H49" s="5" t="n"/>
      <c r="I49" s="4" t="n"/>
      <c r="J49" s="5" t="n"/>
      <c r="K49" s="5" t="n"/>
      <c r="L49" s="5" t="n"/>
    </row>
    <row r="50">
      <c r="A50" s="10">
        <f>IF(B50&lt;&gt;"","GAP-"&amp;TEXT(ROW()-8,"000"),"")</f>
        <v/>
      </c>
      <c r="B50" s="5" t="n"/>
      <c r="C50" s="5" t="n"/>
      <c r="D50" s="5" t="n"/>
      <c r="E50" s="5" t="n"/>
      <c r="F50" s="5" t="n"/>
      <c r="G50" s="5" t="n"/>
      <c r="H50" s="5" t="n"/>
      <c r="I50" s="4" t="n"/>
      <c r="J50" s="5" t="n"/>
      <c r="K50" s="5" t="n"/>
      <c r="L50" s="5" t="n"/>
    </row>
    <row r="51">
      <c r="A51" s="10">
        <f>IF(B51&lt;&gt;"","GAP-"&amp;TEXT(ROW()-8,"000"),"")</f>
        <v/>
      </c>
      <c r="B51" s="5" t="n"/>
      <c r="C51" s="5" t="n"/>
      <c r="D51" s="5" t="n"/>
      <c r="E51" s="5" t="n"/>
      <c r="F51" s="5" t="n"/>
      <c r="G51" s="5" t="n"/>
      <c r="H51" s="5" t="n"/>
      <c r="I51" s="4" t="n"/>
      <c r="J51" s="5" t="n"/>
      <c r="K51" s="5" t="n"/>
      <c r="L51" s="5" t="n"/>
    </row>
    <row r="52">
      <c r="A52" s="10">
        <f>IF(B52&lt;&gt;"","GAP-"&amp;TEXT(ROW()-8,"000"),"")</f>
        <v/>
      </c>
      <c r="B52" s="5" t="n"/>
      <c r="C52" s="5" t="n"/>
      <c r="D52" s="5" t="n"/>
      <c r="E52" s="5" t="n"/>
      <c r="F52" s="5" t="n"/>
      <c r="G52" s="5" t="n"/>
      <c r="H52" s="5" t="n"/>
      <c r="I52" s="4" t="n"/>
      <c r="J52" s="5" t="n"/>
      <c r="K52" s="5" t="n"/>
      <c r="L52" s="5" t="n"/>
    </row>
    <row r="53">
      <c r="A53" s="10">
        <f>IF(B53&lt;&gt;"","GAP-"&amp;TEXT(ROW()-8,"000"),"")</f>
        <v/>
      </c>
      <c r="B53" s="5" t="n"/>
      <c r="C53" s="5" t="n"/>
      <c r="D53" s="5" t="n"/>
      <c r="E53" s="5" t="n"/>
      <c r="F53" s="5" t="n"/>
      <c r="G53" s="5" t="n"/>
      <c r="H53" s="5" t="n"/>
      <c r="I53" s="4" t="n"/>
      <c r="J53" s="5" t="n"/>
      <c r="K53" s="5" t="n"/>
      <c r="L53" s="5" t="n"/>
    </row>
    <row r="54">
      <c r="A54" s="10">
        <f>IF(B54&lt;&gt;"","GAP-"&amp;TEXT(ROW()-8,"000"),"")</f>
        <v/>
      </c>
      <c r="B54" s="5" t="n"/>
      <c r="C54" s="5" t="n"/>
      <c r="D54" s="5" t="n"/>
      <c r="E54" s="5" t="n"/>
      <c r="F54" s="5" t="n"/>
      <c r="G54" s="5" t="n"/>
      <c r="H54" s="5" t="n"/>
      <c r="I54" s="4" t="n"/>
      <c r="J54" s="5" t="n"/>
      <c r="K54" s="5" t="n"/>
      <c r="L54" s="5" t="n"/>
    </row>
    <row r="55">
      <c r="A55" s="10">
        <f>IF(B55&lt;&gt;"","GAP-"&amp;TEXT(ROW()-8,"000"),"")</f>
        <v/>
      </c>
      <c r="B55" s="5" t="n"/>
      <c r="C55" s="5" t="n"/>
      <c r="D55" s="5" t="n"/>
      <c r="E55" s="5" t="n"/>
      <c r="F55" s="5" t="n"/>
      <c r="G55" s="5" t="n"/>
      <c r="H55" s="5" t="n"/>
      <c r="I55" s="4" t="n"/>
      <c r="J55" s="5" t="n"/>
      <c r="K55" s="5" t="n"/>
      <c r="L55" s="5" t="n"/>
    </row>
    <row r="56">
      <c r="A56" s="10">
        <f>IF(B56&lt;&gt;"","GAP-"&amp;TEXT(ROW()-8,"000"),"")</f>
        <v/>
      </c>
      <c r="B56" s="5" t="n"/>
      <c r="C56" s="5" t="n"/>
      <c r="D56" s="5" t="n"/>
      <c r="E56" s="5" t="n"/>
      <c r="F56" s="5" t="n"/>
      <c r="G56" s="5" t="n"/>
      <c r="H56" s="5" t="n"/>
      <c r="I56" s="4" t="n"/>
      <c r="J56" s="5" t="n"/>
      <c r="K56" s="5" t="n"/>
      <c r="L56" s="5" t="n"/>
    </row>
    <row r="57">
      <c r="A57" s="10">
        <f>IF(B57&lt;&gt;"","GAP-"&amp;TEXT(ROW()-8,"000"),"")</f>
        <v/>
      </c>
      <c r="B57" s="5" t="n"/>
      <c r="C57" s="5" t="n"/>
      <c r="D57" s="5" t="n"/>
      <c r="E57" s="5" t="n"/>
      <c r="F57" s="5" t="n"/>
      <c r="G57" s="5" t="n"/>
      <c r="H57" s="5" t="n"/>
      <c r="I57" s="4" t="n"/>
      <c r="J57" s="5" t="n"/>
      <c r="K57" s="5" t="n"/>
      <c r="L57" s="5" t="n"/>
    </row>
    <row r="58">
      <c r="A58" s="10">
        <f>IF(B58&lt;&gt;"","GAP-"&amp;TEXT(ROW()-8,"000"),"")</f>
        <v/>
      </c>
      <c r="B58" s="5" t="n"/>
      <c r="C58" s="5" t="n"/>
      <c r="D58" s="5" t="n"/>
      <c r="E58" s="5" t="n"/>
      <c r="F58" s="5" t="n"/>
      <c r="G58" s="5" t="n"/>
      <c r="H58" s="5" t="n"/>
      <c r="I58" s="4" t="n"/>
      <c r="J58" s="5" t="n"/>
      <c r="K58" s="5" t="n"/>
      <c r="L58" s="5" t="n"/>
    </row>
    <row r="59">
      <c r="A59" s="10">
        <f>IF(B59&lt;&gt;"","GAP-"&amp;TEXT(ROW()-8,"000"),"")</f>
        <v/>
      </c>
      <c r="B59" s="5" t="n"/>
      <c r="C59" s="5" t="n"/>
      <c r="D59" s="5" t="n"/>
      <c r="E59" s="5" t="n"/>
      <c r="F59" s="5" t="n"/>
      <c r="G59" s="5" t="n"/>
      <c r="H59" s="5" t="n"/>
      <c r="I59" s="4" t="n"/>
      <c r="J59" s="5" t="n"/>
      <c r="K59" s="5" t="n"/>
      <c r="L59" s="5" t="n"/>
    </row>
    <row r="60">
      <c r="A60" s="10">
        <f>IF(B60&lt;&gt;"","GAP-"&amp;TEXT(ROW()-8,"000"),"")</f>
        <v/>
      </c>
      <c r="B60" s="5" t="n"/>
      <c r="C60" s="5" t="n"/>
      <c r="D60" s="5" t="n"/>
      <c r="E60" s="5" t="n"/>
      <c r="F60" s="5" t="n"/>
      <c r="G60" s="5" t="n"/>
      <c r="H60" s="5" t="n"/>
      <c r="I60" s="4" t="n"/>
      <c r="J60" s="5" t="n"/>
      <c r="K60" s="5" t="n"/>
      <c r="L60" s="5" t="n"/>
    </row>
    <row r="61">
      <c r="A61" s="10">
        <f>IF(B61&lt;&gt;"","GAP-"&amp;TEXT(ROW()-8,"000"),"")</f>
        <v/>
      </c>
      <c r="B61" s="5" t="n"/>
      <c r="C61" s="5" t="n"/>
      <c r="D61" s="5" t="n"/>
      <c r="E61" s="5" t="n"/>
      <c r="F61" s="5" t="n"/>
      <c r="G61" s="5" t="n"/>
      <c r="H61" s="5" t="n"/>
      <c r="I61" s="4" t="n"/>
      <c r="J61" s="5" t="n"/>
      <c r="K61" s="5" t="n"/>
      <c r="L61" s="5" t="n"/>
    </row>
    <row r="62">
      <c r="A62" s="10">
        <f>IF(B62&lt;&gt;"","GAP-"&amp;TEXT(ROW()-8,"000"),"")</f>
        <v/>
      </c>
      <c r="B62" s="5" t="n"/>
      <c r="C62" s="5" t="n"/>
      <c r="D62" s="5" t="n"/>
      <c r="E62" s="5" t="n"/>
      <c r="F62" s="5" t="n"/>
      <c r="G62" s="5" t="n"/>
      <c r="H62" s="5" t="n"/>
      <c r="I62" s="4" t="n"/>
      <c r="J62" s="5" t="n"/>
      <c r="K62" s="5" t="n"/>
      <c r="L62" s="5" t="n"/>
    </row>
    <row r="63">
      <c r="A63" s="10">
        <f>IF(B63&lt;&gt;"","GAP-"&amp;TEXT(ROW()-8,"000"),"")</f>
        <v/>
      </c>
      <c r="B63" s="5" t="n"/>
      <c r="C63" s="5" t="n"/>
      <c r="D63" s="5" t="n"/>
      <c r="E63" s="5" t="n"/>
      <c r="F63" s="5" t="n"/>
      <c r="G63" s="5" t="n"/>
      <c r="H63" s="5" t="n"/>
      <c r="I63" s="4" t="n"/>
      <c r="J63" s="5" t="n"/>
      <c r="K63" s="5" t="n"/>
      <c r="L63" s="5" t="n"/>
    </row>
    <row r="64">
      <c r="A64" s="10">
        <f>IF(B64&lt;&gt;"","GAP-"&amp;TEXT(ROW()-8,"000"),"")</f>
        <v/>
      </c>
      <c r="B64" s="5" t="n"/>
      <c r="C64" s="5" t="n"/>
      <c r="D64" s="5" t="n"/>
      <c r="E64" s="5" t="n"/>
      <c r="F64" s="5" t="n"/>
      <c r="G64" s="5" t="n"/>
      <c r="H64" s="5" t="n"/>
      <c r="I64" s="4" t="n"/>
      <c r="J64" s="5" t="n"/>
      <c r="K64" s="5" t="n"/>
      <c r="L64" s="5" t="n"/>
    </row>
    <row r="65">
      <c r="A65" s="10">
        <f>IF(B65&lt;&gt;"","GAP-"&amp;TEXT(ROW()-8,"000"),"")</f>
        <v/>
      </c>
      <c r="B65" s="5" t="n"/>
      <c r="C65" s="5" t="n"/>
      <c r="D65" s="5" t="n"/>
      <c r="E65" s="5" t="n"/>
      <c r="F65" s="5" t="n"/>
      <c r="G65" s="5" t="n"/>
      <c r="H65" s="5" t="n"/>
      <c r="I65" s="4" t="n"/>
      <c r="J65" s="5" t="n"/>
      <c r="K65" s="5" t="n"/>
      <c r="L65" s="5" t="n"/>
    </row>
    <row r="66">
      <c r="A66" s="10">
        <f>IF(B66&lt;&gt;"","GAP-"&amp;TEXT(ROW()-8,"000"),"")</f>
        <v/>
      </c>
      <c r="B66" s="5" t="n"/>
      <c r="C66" s="5" t="n"/>
      <c r="D66" s="5" t="n"/>
      <c r="E66" s="5" t="n"/>
      <c r="F66" s="5" t="n"/>
      <c r="G66" s="5" t="n"/>
      <c r="H66" s="5" t="n"/>
      <c r="I66" s="4" t="n"/>
      <c r="J66" s="5" t="n"/>
      <c r="K66" s="5" t="n"/>
      <c r="L66" s="5" t="n"/>
    </row>
    <row r="67">
      <c r="A67" s="10">
        <f>IF(B67&lt;&gt;"","GAP-"&amp;TEXT(ROW()-8,"000"),"")</f>
        <v/>
      </c>
      <c r="B67" s="5" t="n"/>
      <c r="C67" s="5" t="n"/>
      <c r="D67" s="5" t="n"/>
      <c r="E67" s="5" t="n"/>
      <c r="F67" s="5" t="n"/>
      <c r="G67" s="5" t="n"/>
      <c r="H67" s="5" t="n"/>
      <c r="I67" s="4" t="n"/>
      <c r="J67" s="5" t="n"/>
      <c r="K67" s="5" t="n"/>
      <c r="L67" s="5" t="n"/>
    </row>
    <row r="68">
      <c r="A68" s="10">
        <f>IF(B68&lt;&gt;"","GAP-"&amp;TEXT(ROW()-8,"000"),"")</f>
        <v/>
      </c>
      <c r="B68" s="5" t="n"/>
      <c r="C68" s="5" t="n"/>
      <c r="D68" s="5" t="n"/>
      <c r="E68" s="5" t="n"/>
      <c r="F68" s="5" t="n"/>
      <c r="G68" s="5" t="n"/>
      <c r="H68" s="5" t="n"/>
      <c r="I68" s="4" t="n"/>
      <c r="J68" s="5" t="n"/>
      <c r="K68" s="5" t="n"/>
      <c r="L68" s="5" t="n"/>
    </row>
    <row r="69">
      <c r="A69" s="10">
        <f>IF(B69&lt;&gt;"","GAP-"&amp;TEXT(ROW()-8,"000"),"")</f>
        <v/>
      </c>
      <c r="B69" s="5" t="n"/>
      <c r="C69" s="5" t="n"/>
      <c r="D69" s="5" t="n"/>
      <c r="E69" s="5" t="n"/>
      <c r="F69" s="5" t="n"/>
      <c r="G69" s="5" t="n"/>
      <c r="H69" s="5" t="n"/>
      <c r="I69" s="4" t="n"/>
      <c r="J69" s="5" t="n"/>
      <c r="K69" s="5" t="n"/>
      <c r="L69" s="5" t="n"/>
    </row>
    <row r="70">
      <c r="A70" s="10">
        <f>IF(B70&lt;&gt;"","GAP-"&amp;TEXT(ROW()-8,"000"),"")</f>
        <v/>
      </c>
      <c r="B70" s="5" t="n"/>
      <c r="C70" s="5" t="n"/>
      <c r="D70" s="5" t="n"/>
      <c r="E70" s="5" t="n"/>
      <c r="F70" s="5" t="n"/>
      <c r="G70" s="5" t="n"/>
      <c r="H70" s="5" t="n"/>
      <c r="I70" s="4" t="n"/>
      <c r="J70" s="5" t="n"/>
      <c r="K70" s="5" t="n"/>
      <c r="L70" s="5" t="n"/>
    </row>
    <row r="71">
      <c r="A71" s="10">
        <f>IF(B71&lt;&gt;"","GAP-"&amp;TEXT(ROW()-8,"000"),"")</f>
        <v/>
      </c>
      <c r="B71" s="5" t="n"/>
      <c r="C71" s="5" t="n"/>
      <c r="D71" s="5" t="n"/>
      <c r="E71" s="5" t="n"/>
      <c r="F71" s="5" t="n"/>
      <c r="G71" s="5" t="n"/>
      <c r="H71" s="5" t="n"/>
      <c r="I71" s="4" t="n"/>
      <c r="J71" s="5" t="n"/>
      <c r="K71" s="5" t="n"/>
      <c r="L71" s="5" t="n"/>
    </row>
    <row r="72">
      <c r="A72" s="10">
        <f>IF(B72&lt;&gt;"","GAP-"&amp;TEXT(ROW()-8,"000"),"")</f>
        <v/>
      </c>
      <c r="B72" s="5" t="n"/>
      <c r="C72" s="5" t="n"/>
      <c r="D72" s="5" t="n"/>
      <c r="E72" s="5" t="n"/>
      <c r="F72" s="5" t="n"/>
      <c r="G72" s="5" t="n"/>
      <c r="H72" s="5" t="n"/>
      <c r="I72" s="4" t="n"/>
      <c r="J72" s="5" t="n"/>
      <c r="K72" s="5" t="n"/>
      <c r="L72" s="5" t="n"/>
    </row>
    <row r="73">
      <c r="A73" s="10">
        <f>IF(B73&lt;&gt;"","GAP-"&amp;TEXT(ROW()-8,"000"),"")</f>
        <v/>
      </c>
      <c r="B73" s="5" t="n"/>
      <c r="C73" s="5" t="n"/>
      <c r="D73" s="5" t="n"/>
      <c r="E73" s="5" t="n"/>
      <c r="F73" s="5" t="n"/>
      <c r="G73" s="5" t="n"/>
      <c r="H73" s="5" t="n"/>
      <c r="I73" s="4" t="n"/>
      <c r="J73" s="5" t="n"/>
      <c r="K73" s="5" t="n"/>
      <c r="L73" s="5" t="n"/>
    </row>
    <row r="74">
      <c r="A74" s="10">
        <f>IF(B74&lt;&gt;"","GAP-"&amp;TEXT(ROW()-8,"000"),"")</f>
        <v/>
      </c>
      <c r="B74" s="5" t="n"/>
      <c r="C74" s="5" t="n"/>
      <c r="D74" s="5" t="n"/>
      <c r="E74" s="5" t="n"/>
      <c r="F74" s="5" t="n"/>
      <c r="G74" s="5" t="n"/>
      <c r="H74" s="5" t="n"/>
      <c r="I74" s="4" t="n"/>
      <c r="J74" s="5" t="n"/>
      <c r="K74" s="5" t="n"/>
      <c r="L74" s="5" t="n"/>
    </row>
    <row r="75">
      <c r="A75" s="10">
        <f>IF(B75&lt;&gt;"","GAP-"&amp;TEXT(ROW()-8,"000"),"")</f>
        <v/>
      </c>
      <c r="B75" s="5" t="n"/>
      <c r="C75" s="5" t="n"/>
      <c r="D75" s="5" t="n"/>
      <c r="E75" s="5" t="n"/>
      <c r="F75" s="5" t="n"/>
      <c r="G75" s="5" t="n"/>
      <c r="H75" s="5" t="n"/>
      <c r="I75" s="4" t="n"/>
      <c r="J75" s="5" t="n"/>
      <c r="K75" s="5" t="n"/>
      <c r="L75" s="5" t="n"/>
    </row>
    <row r="76">
      <c r="A76" s="10">
        <f>IF(B76&lt;&gt;"","GAP-"&amp;TEXT(ROW()-8,"000"),"")</f>
        <v/>
      </c>
      <c r="B76" s="5" t="n"/>
      <c r="C76" s="5" t="n"/>
      <c r="D76" s="5" t="n"/>
      <c r="E76" s="5" t="n"/>
      <c r="F76" s="5" t="n"/>
      <c r="G76" s="5" t="n"/>
      <c r="H76" s="5" t="n"/>
      <c r="I76" s="4" t="n"/>
      <c r="J76" s="5" t="n"/>
      <c r="K76" s="5" t="n"/>
      <c r="L76" s="5" t="n"/>
    </row>
    <row r="77">
      <c r="A77" s="10">
        <f>IF(B77&lt;&gt;"","GAP-"&amp;TEXT(ROW()-8,"000"),"")</f>
        <v/>
      </c>
      <c r="B77" s="5" t="n"/>
      <c r="C77" s="5" t="n"/>
      <c r="D77" s="5" t="n"/>
      <c r="E77" s="5" t="n"/>
      <c r="F77" s="5" t="n"/>
      <c r="G77" s="5" t="n"/>
      <c r="H77" s="5" t="n"/>
      <c r="I77" s="4" t="n"/>
      <c r="J77" s="5" t="n"/>
      <c r="K77" s="5" t="n"/>
      <c r="L77" s="5" t="n"/>
    </row>
    <row r="78">
      <c r="A78" s="10">
        <f>IF(B78&lt;&gt;"","GAP-"&amp;TEXT(ROW()-8,"000"),"")</f>
        <v/>
      </c>
      <c r="B78" s="5" t="n"/>
      <c r="C78" s="5" t="n"/>
      <c r="D78" s="5" t="n"/>
      <c r="E78" s="5" t="n"/>
      <c r="F78" s="5" t="n"/>
      <c r="G78" s="5" t="n"/>
      <c r="H78" s="5" t="n"/>
      <c r="I78" s="4" t="n"/>
      <c r="J78" s="5" t="n"/>
      <c r="K78" s="5" t="n"/>
      <c r="L78" s="5" t="n"/>
    </row>
    <row r="79">
      <c r="A79" s="10">
        <f>IF(B79&lt;&gt;"","GAP-"&amp;TEXT(ROW()-8,"000"),"")</f>
        <v/>
      </c>
      <c r="B79" s="5" t="n"/>
      <c r="C79" s="5" t="n"/>
      <c r="D79" s="5" t="n"/>
      <c r="E79" s="5" t="n"/>
      <c r="F79" s="5" t="n"/>
      <c r="G79" s="5" t="n"/>
      <c r="H79" s="5" t="n"/>
      <c r="I79" s="4" t="n"/>
      <c r="J79" s="5" t="n"/>
      <c r="K79" s="5" t="n"/>
      <c r="L79" s="5" t="n"/>
    </row>
    <row r="80">
      <c r="A80" s="10">
        <f>IF(B80&lt;&gt;"","GAP-"&amp;TEXT(ROW()-8,"000"),"")</f>
        <v/>
      </c>
      <c r="B80" s="5" t="n"/>
      <c r="C80" s="5" t="n"/>
      <c r="D80" s="5" t="n"/>
      <c r="E80" s="5" t="n"/>
      <c r="F80" s="5" t="n"/>
      <c r="G80" s="5" t="n"/>
      <c r="H80" s="5" t="n"/>
      <c r="I80" s="4" t="n"/>
      <c r="J80" s="5" t="n"/>
      <c r="K80" s="5" t="n"/>
      <c r="L80" s="5" t="n"/>
    </row>
    <row r="81">
      <c r="A81" s="10">
        <f>IF(B81&lt;&gt;"","GAP-"&amp;TEXT(ROW()-8,"000"),"")</f>
        <v/>
      </c>
      <c r="B81" s="5" t="n"/>
      <c r="C81" s="5" t="n"/>
      <c r="D81" s="5" t="n"/>
      <c r="E81" s="5" t="n"/>
      <c r="F81" s="5" t="n"/>
      <c r="G81" s="5" t="n"/>
      <c r="H81" s="5" t="n"/>
      <c r="I81" s="4" t="n"/>
      <c r="J81" s="5" t="n"/>
      <c r="K81" s="5" t="n"/>
      <c r="L81" s="5" t="n"/>
    </row>
    <row r="82">
      <c r="A82" s="10">
        <f>IF(B82&lt;&gt;"","GAP-"&amp;TEXT(ROW()-8,"000"),"")</f>
        <v/>
      </c>
      <c r="B82" s="5" t="n"/>
      <c r="C82" s="5" t="n"/>
      <c r="D82" s="5" t="n"/>
      <c r="E82" s="5" t="n"/>
      <c r="F82" s="5" t="n"/>
      <c r="G82" s="5" t="n"/>
      <c r="H82" s="5" t="n"/>
      <c r="I82" s="4" t="n"/>
      <c r="J82" s="5" t="n"/>
      <c r="K82" s="5" t="n"/>
      <c r="L82" s="5" t="n"/>
    </row>
    <row r="83">
      <c r="A83" s="10">
        <f>IF(B83&lt;&gt;"","GAP-"&amp;TEXT(ROW()-8,"000"),"")</f>
        <v/>
      </c>
      <c r="B83" s="5" t="n"/>
      <c r="C83" s="5" t="n"/>
      <c r="D83" s="5" t="n"/>
      <c r="E83" s="5" t="n"/>
      <c r="F83" s="5" t="n"/>
      <c r="G83" s="5" t="n"/>
      <c r="H83" s="5" t="n"/>
      <c r="I83" s="4" t="n"/>
      <c r="J83" s="5" t="n"/>
      <c r="K83" s="5" t="n"/>
      <c r="L83" s="5" t="n"/>
    </row>
    <row r="84">
      <c r="A84" s="10">
        <f>IF(B84&lt;&gt;"","GAP-"&amp;TEXT(ROW()-8,"000"),"")</f>
        <v/>
      </c>
      <c r="B84" s="5" t="n"/>
      <c r="C84" s="5" t="n"/>
      <c r="D84" s="5" t="n"/>
      <c r="E84" s="5" t="n"/>
      <c r="F84" s="5" t="n"/>
      <c r="G84" s="5" t="n"/>
      <c r="H84" s="5" t="n"/>
      <c r="I84" s="4" t="n"/>
      <c r="J84" s="5" t="n"/>
      <c r="K84" s="5" t="n"/>
      <c r="L84" s="5" t="n"/>
    </row>
    <row r="85">
      <c r="A85" s="10">
        <f>IF(B85&lt;&gt;"","GAP-"&amp;TEXT(ROW()-8,"000"),"")</f>
        <v/>
      </c>
      <c r="B85" s="5" t="n"/>
      <c r="C85" s="5" t="n"/>
      <c r="D85" s="5" t="n"/>
      <c r="E85" s="5" t="n"/>
      <c r="F85" s="5" t="n"/>
      <c r="G85" s="5" t="n"/>
      <c r="H85" s="5" t="n"/>
      <c r="I85" s="4" t="n"/>
      <c r="J85" s="5" t="n"/>
      <c r="K85" s="5" t="n"/>
      <c r="L85" s="5" t="n"/>
    </row>
    <row r="86">
      <c r="A86" s="10">
        <f>IF(B86&lt;&gt;"","GAP-"&amp;TEXT(ROW()-8,"000"),"")</f>
        <v/>
      </c>
      <c r="B86" s="5" t="n"/>
      <c r="C86" s="5" t="n"/>
      <c r="D86" s="5" t="n"/>
      <c r="E86" s="5" t="n"/>
      <c r="F86" s="5" t="n"/>
      <c r="G86" s="5" t="n"/>
      <c r="H86" s="5" t="n"/>
      <c r="I86" s="4" t="n"/>
      <c r="J86" s="5" t="n"/>
      <c r="K86" s="5" t="n"/>
      <c r="L86" s="5" t="n"/>
    </row>
    <row r="87">
      <c r="A87" s="10">
        <f>IF(B87&lt;&gt;"","GAP-"&amp;TEXT(ROW()-8,"000"),"")</f>
        <v/>
      </c>
      <c r="B87" s="5" t="n"/>
      <c r="C87" s="5" t="n"/>
      <c r="D87" s="5" t="n"/>
      <c r="E87" s="5" t="n"/>
      <c r="F87" s="5" t="n"/>
      <c r="G87" s="5" t="n"/>
      <c r="H87" s="5" t="n"/>
      <c r="I87" s="4" t="n"/>
      <c r="J87" s="5" t="n"/>
      <c r="K87" s="5" t="n"/>
      <c r="L87" s="5" t="n"/>
    </row>
    <row r="88">
      <c r="A88" s="10">
        <f>IF(B88&lt;&gt;"","GAP-"&amp;TEXT(ROW()-8,"000"),"")</f>
        <v/>
      </c>
      <c r="B88" s="5" t="n"/>
      <c r="C88" s="5" t="n"/>
      <c r="D88" s="5" t="n"/>
      <c r="E88" s="5" t="n"/>
      <c r="F88" s="5" t="n"/>
      <c r="G88" s="5" t="n"/>
      <c r="H88" s="5" t="n"/>
      <c r="I88" s="4" t="n"/>
      <c r="J88" s="5" t="n"/>
      <c r="K88" s="5" t="n"/>
      <c r="L88" s="5" t="n"/>
    </row>
    <row r="89">
      <c r="A89" s="10">
        <f>IF(B89&lt;&gt;"","GAP-"&amp;TEXT(ROW()-8,"000"),"")</f>
        <v/>
      </c>
      <c r="B89" s="5" t="n"/>
      <c r="C89" s="5" t="n"/>
      <c r="D89" s="5" t="n"/>
      <c r="E89" s="5" t="n"/>
      <c r="F89" s="5" t="n"/>
      <c r="G89" s="5" t="n"/>
      <c r="H89" s="5" t="n"/>
      <c r="I89" s="4" t="n"/>
      <c r="J89" s="5" t="n"/>
      <c r="K89" s="5" t="n"/>
      <c r="L89" s="5" t="n"/>
    </row>
    <row r="90">
      <c r="A90" s="10">
        <f>IF(B90&lt;&gt;"","GAP-"&amp;TEXT(ROW()-8,"000"),"")</f>
        <v/>
      </c>
      <c r="B90" s="5" t="n"/>
      <c r="C90" s="5" t="n"/>
      <c r="D90" s="5" t="n"/>
      <c r="E90" s="5" t="n"/>
      <c r="F90" s="5" t="n"/>
      <c r="G90" s="5" t="n"/>
      <c r="H90" s="5" t="n"/>
      <c r="I90" s="4" t="n"/>
      <c r="J90" s="5" t="n"/>
      <c r="K90" s="5" t="n"/>
      <c r="L90" s="5" t="n"/>
    </row>
    <row r="91">
      <c r="A91" s="10">
        <f>IF(B91&lt;&gt;"","GAP-"&amp;TEXT(ROW()-8,"000"),"")</f>
        <v/>
      </c>
      <c r="B91" s="5" t="n"/>
      <c r="C91" s="5" t="n"/>
      <c r="D91" s="5" t="n"/>
      <c r="E91" s="5" t="n"/>
      <c r="F91" s="5" t="n"/>
      <c r="G91" s="5" t="n"/>
      <c r="H91" s="5" t="n"/>
      <c r="I91" s="4" t="n"/>
      <c r="J91" s="5" t="n"/>
      <c r="K91" s="5" t="n"/>
      <c r="L91" s="5" t="n"/>
    </row>
    <row r="92">
      <c r="A92" s="10">
        <f>IF(B92&lt;&gt;"","GAP-"&amp;TEXT(ROW()-8,"000"),"")</f>
        <v/>
      </c>
      <c r="B92" s="5" t="n"/>
      <c r="C92" s="5" t="n"/>
      <c r="D92" s="5" t="n"/>
      <c r="E92" s="5" t="n"/>
      <c r="F92" s="5" t="n"/>
      <c r="G92" s="5" t="n"/>
      <c r="H92" s="5" t="n"/>
      <c r="I92" s="4" t="n"/>
      <c r="J92" s="5" t="n"/>
      <c r="K92" s="5" t="n"/>
      <c r="L92" s="5" t="n"/>
    </row>
    <row r="93">
      <c r="A93" s="10">
        <f>IF(B93&lt;&gt;"","GAP-"&amp;TEXT(ROW()-8,"000"),"")</f>
        <v/>
      </c>
      <c r="B93" s="5" t="n"/>
      <c r="C93" s="5" t="n"/>
      <c r="D93" s="5" t="n"/>
      <c r="E93" s="5" t="n"/>
      <c r="F93" s="5" t="n"/>
      <c r="G93" s="5" t="n"/>
      <c r="H93" s="5" t="n"/>
      <c r="I93" s="4" t="n"/>
      <c r="J93" s="5" t="n"/>
      <c r="K93" s="5" t="n"/>
      <c r="L93" s="5" t="n"/>
    </row>
    <row r="94">
      <c r="A94" s="10">
        <f>IF(B94&lt;&gt;"","GAP-"&amp;TEXT(ROW()-8,"000"),"")</f>
        <v/>
      </c>
      <c r="B94" s="5" t="n"/>
      <c r="C94" s="5" t="n"/>
      <c r="D94" s="5" t="n"/>
      <c r="E94" s="5" t="n"/>
      <c r="F94" s="5" t="n"/>
      <c r="G94" s="5" t="n"/>
      <c r="H94" s="5" t="n"/>
      <c r="I94" s="4" t="n"/>
      <c r="J94" s="5" t="n"/>
      <c r="K94" s="5" t="n"/>
      <c r="L94" s="5" t="n"/>
    </row>
    <row r="95">
      <c r="A95" s="10">
        <f>IF(B95&lt;&gt;"","GAP-"&amp;TEXT(ROW()-8,"000"),"")</f>
        <v/>
      </c>
      <c r="B95" s="5" t="n"/>
      <c r="C95" s="5" t="n"/>
      <c r="D95" s="5" t="n"/>
      <c r="E95" s="5" t="n"/>
      <c r="F95" s="5" t="n"/>
      <c r="G95" s="5" t="n"/>
      <c r="H95" s="5" t="n"/>
      <c r="I95" s="4" t="n"/>
      <c r="J95" s="5" t="n"/>
      <c r="K95" s="5" t="n"/>
      <c r="L95" s="5" t="n"/>
    </row>
    <row r="96">
      <c r="A96" s="10">
        <f>IF(B96&lt;&gt;"","GAP-"&amp;TEXT(ROW()-8,"000"),"")</f>
        <v/>
      </c>
      <c r="B96" s="5" t="n"/>
      <c r="C96" s="5" t="n"/>
      <c r="D96" s="5" t="n"/>
      <c r="E96" s="5" t="n"/>
      <c r="F96" s="5" t="n"/>
      <c r="G96" s="5" t="n"/>
      <c r="H96" s="5" t="n"/>
      <c r="I96" s="4" t="n"/>
      <c r="J96" s="5" t="n"/>
      <c r="K96" s="5" t="n"/>
      <c r="L96" s="5" t="n"/>
    </row>
    <row r="97">
      <c r="A97" s="10">
        <f>IF(B97&lt;&gt;"","GAP-"&amp;TEXT(ROW()-8,"000"),"")</f>
        <v/>
      </c>
      <c r="B97" s="5" t="n"/>
      <c r="C97" s="5" t="n"/>
      <c r="D97" s="5" t="n"/>
      <c r="E97" s="5" t="n"/>
      <c r="F97" s="5" t="n"/>
      <c r="G97" s="5" t="n"/>
      <c r="H97" s="5" t="n"/>
      <c r="I97" s="4" t="n"/>
      <c r="J97" s="5" t="n"/>
      <c r="K97" s="5" t="n"/>
      <c r="L97" s="5" t="n"/>
    </row>
    <row r="98">
      <c r="A98" s="10">
        <f>IF(B98&lt;&gt;"","GAP-"&amp;TEXT(ROW()-8,"000"),"")</f>
        <v/>
      </c>
      <c r="B98" s="5" t="n"/>
      <c r="C98" s="5" t="n"/>
      <c r="D98" s="5" t="n"/>
      <c r="E98" s="5" t="n"/>
      <c r="F98" s="5" t="n"/>
      <c r="G98" s="5" t="n"/>
      <c r="H98" s="5" t="n"/>
      <c r="I98" s="4" t="n"/>
      <c r="J98" s="5" t="n"/>
      <c r="K98" s="5" t="n"/>
      <c r="L98" s="5" t="n"/>
    </row>
    <row r="99">
      <c r="A99" s="10">
        <f>IF(B99&lt;&gt;"","GAP-"&amp;TEXT(ROW()-8,"000"),"")</f>
        <v/>
      </c>
      <c r="B99" s="5" t="n"/>
      <c r="C99" s="5" t="n"/>
      <c r="D99" s="5" t="n"/>
      <c r="E99" s="5" t="n"/>
      <c r="F99" s="5" t="n"/>
      <c r="G99" s="5" t="n"/>
      <c r="H99" s="5" t="n"/>
      <c r="I99" s="4" t="n"/>
      <c r="J99" s="5" t="n"/>
      <c r="K99" s="5" t="n"/>
      <c r="L99" s="5" t="n"/>
    </row>
    <row r="100">
      <c r="A100" s="10">
        <f>IF(B100&lt;&gt;"","GAP-"&amp;TEXT(ROW()-8,"000"),"")</f>
        <v/>
      </c>
      <c r="B100" s="5" t="n"/>
      <c r="C100" s="5" t="n"/>
      <c r="D100" s="5" t="n"/>
      <c r="E100" s="5" t="n"/>
      <c r="F100" s="5" t="n"/>
      <c r="G100" s="5" t="n"/>
      <c r="H100" s="5" t="n"/>
      <c r="I100" s="4" t="n"/>
      <c r="J100" s="5" t="n"/>
      <c r="K100" s="5" t="n"/>
      <c r="L100" s="5" t="n"/>
    </row>
  </sheetData>
  <mergeCells count="2">
    <mergeCell ref="A2:L2"/>
    <mergeCell ref="A1:L1"/>
  </mergeCells>
  <conditionalFormatting sqref="F9:F100">
    <cfRule type="cellIs" priority="1" operator="equal" dxfId="2">
      <formula>"Critical"</formula>
    </cfRule>
    <cfRule type="cellIs" priority="2" operator="equal" dxfId="3">
      <formula>"High"</formula>
    </cfRule>
    <cfRule type="cellIs" priority="3" operator="equal" dxfId="1">
      <formula>"Medium"</formula>
    </cfRule>
    <cfRule type="cellIs" priority="4" operator="equal" dxfId="0">
      <formula>"Low"</formula>
    </cfRule>
  </conditionalFormatting>
  <dataValidations count="4">
    <dataValidation sqref="B9:B100" showDropDown="0" showInputMessage="0" showErrorMessage="0" allowBlank="1" type="list">
      <formula1>"Alert Tuning,Review Process,Tools/Capabilities,Staffing,Training,Automation,Documentation,Other"</formula1>
    </dataValidation>
    <dataValidation sqref="F9:F100" showDropDown="0" showInputMessage="0" showErrorMessage="0" allowBlank="1" type="list">
      <formula1>"🔴 Critical,🟡 High,🟢 Medium,⚫ Low"</formula1>
    </dataValidation>
    <dataValidation sqref="J9:J100" showDropDown="0" showInputMessage="0" showErrorMessage="0" allowBlank="1" type="list">
      <formula1>"Yes,No"</formula1>
    </dataValidation>
    <dataValidation sqref="K9:K100" showDropDown="0" showInputMessage="0" showErrorMessage="0" allowBlank="1" type="list">
      <formula1>"❌ Open,⏳ In Progress,✅ Resolved,⭕ 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LOG ANALYSIS &amp; REVIEW DASHBOARD</t>
        </is>
      </c>
    </row>
    <row r="2" ht="25" customHeight="1">
      <c r="A2" s="6" t="inlineStr">
        <is>
          <t>Executive Summary - Analysis &amp; Review Program Health</t>
        </is>
      </c>
    </row>
    <row r="4">
      <c r="A4" s="6" t="inlineStr">
        <is>
          <t>1. PROGRAM HEALTH SUMMARY</t>
        </is>
      </c>
    </row>
    <row r="6">
      <c r="A6" s="8" t="inlineStr">
        <is>
          <t>Metric</t>
        </is>
      </c>
      <c r="B6" s="8" t="inlineStr">
        <is>
          <t>Current Value</t>
        </is>
      </c>
      <c r="C6" s="8" t="inlineStr">
        <is>
          <t>Target</t>
        </is>
      </c>
      <c r="D6" s="8" t="inlineStr">
        <is>
          <t>Status</t>
        </is>
      </c>
    </row>
    <row r="7">
      <c r="A7" s="2" t="inlineStr">
        <is>
          <t>Review Completion Rate</t>
        </is>
      </c>
      <c r="B7" s="12">
        <f>COUNTIF('Log Review Schedule'!I:I,"On Schedule")/COUNTA('Log Review Schedule'!I9:I100)</f>
        <v/>
      </c>
      <c r="C7" s="14" t="inlineStr">
        <is>
          <t>&gt;95%</t>
        </is>
      </c>
      <c r="D7" s="10">
        <f>IF(B{row}&gt;0,"✓","✗")</f>
        <v/>
      </c>
    </row>
    <row r="8">
      <c r="A8" s="2" t="inlineStr">
        <is>
          <t>Overdue Reviews</t>
        </is>
      </c>
      <c r="B8" s="10">
        <f>COUNTIF('Log Review Schedule'!J:J,"&gt;0")</f>
        <v/>
      </c>
      <c r="C8" s="14" t="inlineStr">
        <is>
          <t>0</t>
        </is>
      </c>
      <c r="D8" s="10">
        <f>IF(B{row}&gt;0,"✓","✗")</f>
        <v/>
      </c>
    </row>
    <row r="9">
      <c r="A9" s="2" t="inlineStr">
        <is>
          <t>Avg True Positive Rate</t>
        </is>
      </c>
      <c r="B9" s="12">
        <f>AVERAGE('Continuous Monitoring'!G9:G98)</f>
        <v/>
      </c>
      <c r="C9" s="14" t="inlineStr">
        <is>
          <t>&gt;50%</t>
        </is>
      </c>
      <c r="D9" s="10">
        <f>IF(B{row}&gt;0,"✓","✗")</f>
        <v/>
      </c>
    </row>
    <row r="10">
      <c r="A10" s="2" t="inlineStr">
        <is>
          <t>Avg MTTD (hours)</t>
        </is>
      </c>
      <c r="B10" s="10">
        <f>AVERAGE('Continuous Monitoring'!H9:H98)</f>
        <v/>
      </c>
      <c r="C10" s="14" t="inlineStr">
        <is>
          <t>&lt;1</t>
        </is>
      </c>
      <c r="D10" s="10">
        <f>IF(B{row}&gt;0,"✓","✗")</f>
        <v/>
      </c>
    </row>
    <row r="11">
      <c r="A11" s="2" t="inlineStr">
        <is>
          <t>Avg MTTR (hours)</t>
        </is>
      </c>
      <c r="B11" s="10">
        <f>AVERAGE('Continuous Monitoring'!I9:I98)</f>
        <v/>
      </c>
      <c r="C11" s="14" t="inlineStr">
        <is>
          <t>&lt;4</t>
        </is>
      </c>
      <c r="D11" s="10">
        <f>IF(B{row}&gt;0,"✓","✗")</f>
        <v/>
      </c>
    </row>
    <row r="12">
      <c r="A12" s="2" t="inlineStr">
        <is>
          <t>Active Alerts</t>
        </is>
      </c>
      <c r="B12" s="10">
        <f>COUNTIF('Alert Management'!O:O,"Active")</f>
        <v/>
      </c>
      <c r="C12" s="14" t="inlineStr">
        <is>
          <t>N/A</t>
        </is>
      </c>
      <c r="D12" s="10">
        <f>IF(B{row}&gt;0,"✓","✗")</f>
        <v/>
      </c>
    </row>
    <row r="13">
      <c r="A13" s="2" t="inlineStr">
        <is>
          <t>Alerts Needing Tuning</t>
        </is>
      </c>
      <c r="B13" s="10">
        <f>COUNTIF('Alert Management'!L:L,"Yes")</f>
        <v/>
      </c>
      <c r="C13" s="14" t="inlineStr">
        <is>
          <t>Minimize</t>
        </is>
      </c>
      <c r="D13" s="10">
        <f>IF(B{row}&gt;0,"✓","✗")</f>
        <v/>
      </c>
    </row>
    <row r="14">
      <c r="A14" s="2" t="inlineStr">
        <is>
          <t>Playbook Coverage</t>
        </is>
      </c>
      <c r="B14" s="12">
        <f>COUNTIF('Alert Management'!M:M,"Yes")/COUNTA('Alert Management'!M9:M150)</f>
        <v/>
      </c>
      <c r="C14" s="14" t="inlineStr">
        <is>
          <t>100%</t>
        </is>
      </c>
      <c r="D14" s="10">
        <f>IF(B{row}&gt;0,"✓","✗")</f>
        <v/>
      </c>
    </row>
    <row r="17">
      <c r="A17" s="6" t="inlineStr">
        <is>
          <t>2. GAP SUMMARY BY PRIORITY</t>
        </is>
      </c>
    </row>
    <row r="19">
      <c r="A19" s="8" t="inlineStr">
        <is>
          <t>Priority</t>
        </is>
      </c>
      <c r="B19" s="8" t="inlineStr">
        <is>
          <t>Open</t>
        </is>
      </c>
      <c r="C19" s="8" t="inlineStr">
        <is>
          <t>In Progress</t>
        </is>
      </c>
      <c r="D19" s="8" t="inlineStr">
        <is>
          <t>Resolved</t>
        </is>
      </c>
    </row>
    <row r="20">
      <c r="A20" s="2" t="inlineStr">
        <is>
          <t>Critical</t>
        </is>
      </c>
      <c r="B20" s="10">
        <f>COUNTIFS('Gap Analysis'!F:F,"Critical",'Gap Analysis'!K:K,"Open")</f>
        <v/>
      </c>
      <c r="C20" s="10">
        <f>COUNTIFS('Gap Analysis'!F:F,"Critical",'Gap Analysis'!K:K,"In Progress")</f>
        <v/>
      </c>
      <c r="D20" s="10">
        <f>COUNTIFS('Gap Analysis'!F:F,"Critical",'Gap Analysis'!K:K,"Resolved")</f>
        <v/>
      </c>
    </row>
    <row r="21">
      <c r="A21" s="2" t="inlineStr">
        <is>
          <t>High</t>
        </is>
      </c>
      <c r="B21" s="10">
        <f>COUNTIFS('Gap Analysis'!F:F,"High",'Gap Analysis'!K:K,"Open")</f>
        <v/>
      </c>
      <c r="C21" s="10">
        <f>COUNTIFS('Gap Analysis'!F:F,"High",'Gap Analysis'!K:K,"In Progress")</f>
        <v/>
      </c>
      <c r="D21" s="10">
        <f>COUNTIFS('Gap Analysis'!F:F,"High",'Gap Analysis'!K:K,"Resolved")</f>
        <v/>
      </c>
    </row>
    <row r="22">
      <c r="A22" s="2" t="inlineStr">
        <is>
          <t>Medium</t>
        </is>
      </c>
      <c r="B22" s="10">
        <f>COUNTIFS('Gap Analysis'!F:F,"Medium",'Gap Analysis'!K:K,"Open")</f>
        <v/>
      </c>
      <c r="C22" s="10">
        <f>COUNTIFS('Gap Analysis'!F:F,"Medium",'Gap Analysis'!K:K,"In Progress")</f>
        <v/>
      </c>
      <c r="D22" s="10">
        <f>COUNTIFS('Gap Analysis'!F:F,"Medium",'Gap Analysis'!K:K,"Resolved")</f>
        <v/>
      </c>
    </row>
    <row r="23">
      <c r="A23" s="2" t="inlineStr">
        <is>
          <t>Low</t>
        </is>
      </c>
      <c r="B23" s="10">
        <f>COUNTIFS('Gap Analysis'!F:F,"Low",'Gap Analysis'!K:K,"Open")</f>
        <v/>
      </c>
      <c r="C23" s="10">
        <f>COUNTIFS('Gap Analysis'!F:F,"Low",'Gap Analysis'!K:K,"In Progress")</f>
        <v/>
      </c>
      <c r="D23" s="10">
        <f>COUNTIFS('Gap Analysis'!F:F,"Low",'Gap Analysis'!K:K,"Resolved")</f>
        <v/>
      </c>
    </row>
    <row r="26">
      <c r="A26" s="6" t="inlineStr">
        <is>
          <t>3. KEY RECOMMENDATIONS</t>
        </is>
      </c>
    </row>
    <row r="28">
      <c r="A28" s="15" t="inlineStr">
        <is>
          <t>IMMEDIATE ACTIONS:</t>
        </is>
      </c>
    </row>
    <row r="29">
      <c r="A29" s="16" t="inlineStr">
        <is>
          <t>• Tune alerts with high false positive rates (&gt;50%)</t>
        </is>
      </c>
    </row>
    <row r="30">
      <c r="A30" s="16" t="inlineStr">
        <is>
          <t>• Complete overdue log reviews within 48 hours</t>
        </is>
      </c>
    </row>
    <row r="31">
      <c r="A31" s="16" t="inlineStr">
        <is>
          <t>• Develop playbooks for alerts without documented procedures</t>
        </is>
      </c>
    </row>
    <row r="32">
      <c r="A32" s="16" t="inlineStr"/>
    </row>
    <row r="33">
      <c r="A33" s="15" t="inlineStr">
        <is>
          <t>SHORT-TERM (30 days):</t>
        </is>
      </c>
    </row>
    <row r="34">
      <c r="A34" s="16" t="inlineStr">
        <is>
          <t>• Improve MTTD/MTTR metrics through automation</t>
        </is>
      </c>
    </row>
    <row r="35">
      <c r="A35" s="16" t="inlineStr">
        <is>
          <t>• Train analysts on new analysis tools</t>
        </is>
      </c>
    </row>
    <row r="36">
      <c r="A36" s="16" t="inlineStr">
        <is>
          <t>• Document lessons learned from recent incidents</t>
        </is>
      </c>
    </row>
    <row r="37">
      <c r="A37" s="16" t="inlineStr"/>
    </row>
    <row r="38">
      <c r="A38" s="15" t="inlineStr">
        <is>
          <t>LONG-TERM (90 days):</t>
        </is>
      </c>
    </row>
    <row r="39">
      <c r="A39" s="16" t="inlineStr">
        <is>
          <t>• Achieve &gt;95% review completion rate</t>
        </is>
      </c>
    </row>
    <row r="40">
      <c r="A40" s="16" t="inlineStr">
        <is>
          <t>• Reach &gt;70% true positive rate for all alert types</t>
        </is>
      </c>
    </row>
    <row r="41">
      <c r="A41" s="16" t="inlineStr">
        <is>
          <t>• Implement automated alert enrichment and triage</t>
        </is>
      </c>
    </row>
  </sheetData>
  <mergeCells count="19">
    <mergeCell ref="A30:H30"/>
    <mergeCell ref="A39:H39"/>
    <mergeCell ref="A36:H36"/>
    <mergeCell ref="A1:H1"/>
    <mergeCell ref="A41:H41"/>
    <mergeCell ref="A37:H37"/>
    <mergeCell ref="A26:H26"/>
    <mergeCell ref="A2:H2"/>
    <mergeCell ref="A33:H33"/>
    <mergeCell ref="A32:H32"/>
    <mergeCell ref="A40:H40"/>
    <mergeCell ref="A17:H17"/>
    <mergeCell ref="A4:H4"/>
    <mergeCell ref="A29:H29"/>
    <mergeCell ref="A35:H35"/>
    <mergeCell ref="A38:H38"/>
    <mergeCell ref="A28:H28"/>
    <mergeCell ref="A31:H31"/>
    <mergeCell ref="A34:H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5" customWidth="1" min="3" max="3"/>
    <col width="15" customWidth="1" min="4" max="4"/>
    <col width="20" customWidth="1" min="5" max="5"/>
  </cols>
  <sheetData>
    <row r="1" ht="40" customHeight="1">
      <c r="A1" s="1" t="inlineStr">
        <is>
          <t>APPROVAL &amp; SIGN-OFF</t>
        </is>
      </c>
    </row>
    <row r="2" ht="25" customHeight="1">
      <c r="A2" s="6" t="inlineStr">
        <is>
          <t>Multi-level approval workflow for Log Analysis &amp; Review Assessment</t>
        </is>
      </c>
    </row>
    <row r="4">
      <c r="A4" s="6" t="inlineStr">
        <is>
          <t>APPROVAL WORKFLOW</t>
        </is>
      </c>
    </row>
    <row r="6">
      <c r="A6" s="8" t="inlineStr">
        <is>
          <t>Role</t>
        </is>
      </c>
      <c r="B6" s="8" t="inlineStr">
        <is>
          <t>Name</t>
        </is>
      </c>
      <c r="C6" s="8" t="inlineStr">
        <is>
          <t>Date</t>
        </is>
      </c>
      <c r="D6" s="8" t="inlineStr">
        <is>
          <t>Signature</t>
        </is>
      </c>
      <c r="E6" s="8" t="inlineStr">
        <is>
          <t>Status</t>
        </is>
      </c>
    </row>
    <row r="7">
      <c r="A7" s="2" t="inlineStr">
        <is>
          <t>SOC Lead</t>
        </is>
      </c>
      <c r="B7" s="5" t="inlineStr">
        <is>
          <t>[Name]</t>
        </is>
      </c>
      <c r="C7" s="4" t="inlineStr"/>
      <c r="D7" s="5" t="inlineStr">
        <is>
          <t>_____</t>
        </is>
      </c>
      <c r="E7" s="17" t="inlineStr">
        <is>
          <t>☐ Reviewed</t>
        </is>
      </c>
    </row>
    <row r="8">
      <c r="A8" s="2" t="inlineStr">
        <is>
          <t>Security Analyst Team Lead</t>
        </is>
      </c>
      <c r="B8" s="5" t="inlineStr">
        <is>
          <t>[Name]</t>
        </is>
      </c>
      <c r="C8" s="4" t="inlineStr"/>
      <c r="D8" s="5" t="inlineStr">
        <is>
          <t>_____</t>
        </is>
      </c>
      <c r="E8" s="17" t="inlineStr">
        <is>
          <t>☐ Reviewed</t>
        </is>
      </c>
    </row>
    <row r="9">
      <c r="A9" s="2" t="inlineStr">
        <is>
          <t>IT Operations Manager</t>
        </is>
      </c>
      <c r="B9" s="5" t="inlineStr">
        <is>
          <t>[Name]</t>
        </is>
      </c>
      <c r="C9" s="4" t="inlineStr"/>
      <c r="D9" s="5" t="inlineStr">
        <is>
          <t>_____</t>
        </is>
      </c>
      <c r="E9" s="17" t="inlineStr">
        <is>
          <t>☐ Reviewed</t>
        </is>
      </c>
    </row>
    <row r="10">
      <c r="A10" s="2" t="inlineStr">
        <is>
          <t>Information Security Manager</t>
        </is>
      </c>
      <c r="B10" s="5" t="inlineStr">
        <is>
          <t>[Name]</t>
        </is>
      </c>
      <c r="C10" s="4" t="inlineStr"/>
      <c r="D10" s="5" t="inlineStr">
        <is>
          <t>_____</t>
        </is>
      </c>
      <c r="E10" s="17" t="inlineStr">
        <is>
          <t>☐ Approved</t>
        </is>
      </c>
    </row>
    <row r="13">
      <c r="A13" s="6" t="inlineStr">
        <is>
          <t>ACKNOWLEDGMENTS CHECKLIST</t>
        </is>
      </c>
    </row>
    <row r="15">
      <c r="A15" s="17" t="inlineStr">
        <is>
          <t>☐ Log review schedule documented and current</t>
        </is>
      </c>
    </row>
    <row r="16">
      <c r="A16" s="17" t="inlineStr">
        <is>
          <t>☐ Alert management assessed and tuning prioritized</t>
        </is>
      </c>
    </row>
    <row r="17">
      <c r="A17" s="17" t="inlineStr">
        <is>
          <t>☐ Investigation workflows documented</t>
        </is>
      </c>
    </row>
    <row r="18">
      <c r="A18" s="17" t="inlineStr">
        <is>
          <t>☐ Analysis tools and capabilities inventoried</t>
        </is>
      </c>
    </row>
    <row r="19">
      <c r="A19" s="17" t="inlineStr">
        <is>
          <t>☐ Review findings documented and assigned</t>
        </is>
      </c>
    </row>
    <row r="20">
      <c r="A20" s="17" t="inlineStr">
        <is>
          <t>☐ Continuous monitoring metrics tracked</t>
        </is>
      </c>
    </row>
    <row r="21">
      <c r="A21" s="17" t="inlineStr">
        <is>
          <t>☐ Performance indicators measured</t>
        </is>
      </c>
    </row>
    <row r="22">
      <c r="A22" s="17" t="inlineStr">
        <is>
          <t>☐ Gaps identified and remediation planned</t>
        </is>
      </c>
    </row>
    <row r="23">
      <c r="A23" s="17" t="inlineStr">
        <is>
          <t>☐ Next assessment scheduled</t>
        </is>
      </c>
    </row>
  </sheetData>
  <mergeCells count="13">
    <mergeCell ref="A21:E21"/>
    <mergeCell ref="A4:E4"/>
    <mergeCell ref="A20:E20"/>
    <mergeCell ref="A2:E2"/>
    <mergeCell ref="A16:E16"/>
    <mergeCell ref="A15:E15"/>
    <mergeCell ref="A19:E19"/>
    <mergeCell ref="A1:E1"/>
    <mergeCell ref="A23:E23"/>
    <mergeCell ref="A13:E13"/>
    <mergeCell ref="A22:E22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2026-01-31T02:16:32Z</dcterms:created>
  <dcterms:modified xmlns:dcterms="http://purl.org/dc/terms/" xmlns:xsi="http://www.w3.org/2001/XMLSchema-instance" xsi:type="dcterms:W3CDTF">2026-01-31T02:16:33Z</dcterms:modified>
</cp:coreProperties>
</file>