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xecutive Summary" sheetId="1" state="visible" r:id="rId1"/>
    <sheet xmlns:r="http://schemas.openxmlformats.org/officeDocument/2006/relationships" name="Dashboard" sheetId="2" state="visible" r:id="rId2"/>
    <sheet xmlns:r="http://schemas.openxmlformats.org/officeDocument/2006/relationships" name="ADM Identification" sheetId="3" state="visible" r:id="rId3"/>
    <sheet xmlns:r="http://schemas.openxmlformats.org/officeDocument/2006/relationships" name="Obligations and Safeguards" sheetId="4" state="visible" r:id="rId4"/>
    <sheet xmlns:r="http://schemas.openxmlformats.org/officeDocument/2006/relationships" name="Transparency and Demonstrability" sheetId="5" state="visible" r:id="rId5"/>
  </sheets>
  <definedNames>
    <definedName name="_xlnm.Print_Area" localSheetId="0">'Executive Summary'!$A$1:$H$62</definedName>
  </definedNames>
  <calcPr calcId="124519" fullCalcOnLoad="1"/>
</workbook>
</file>

<file path=xl/styles.xml><?xml version="1.0" encoding="utf-8"?>
<styleSheet xmlns="http://schemas.openxmlformats.org/spreadsheetml/2006/main">
  <numFmts count="1">
    <numFmt numFmtId="164" formatCode="DD.MM.YYYY"/>
  </numFmts>
  <fonts count="15">
    <font>
      <name val="Calibri"/>
      <family val="2"/>
      <color theme="1"/>
      <sz val="11"/>
      <scheme val="minor"/>
    </font>
    <font>
      <name val="Calibri"/>
      <b val="1"/>
      <color rgb="00FFFFFF"/>
      <sz val="14"/>
    </font>
    <font>
      <name val="Calibri"/>
      <i val="1"/>
      <color rgb="004472C4"/>
      <sz val="10"/>
    </font>
    <font>
      <name val="Calibri"/>
      <b val="1"/>
      <sz val="10"/>
    </font>
    <font>
      <name val="Calibri"/>
      <color rgb="00666666"/>
      <sz val="9"/>
    </font>
    <font>
      <name val="Calibri"/>
      <sz val="9"/>
    </font>
    <font>
      <name val="Calibri"/>
      <b val="1"/>
      <sz val="11"/>
    </font>
    <font>
      <name val="Calibri"/>
      <b val="1"/>
      <color rgb="00FFFFFF"/>
      <sz val="11"/>
    </font>
    <font>
      <name val="Calibri"/>
      <b val="1"/>
      <sz val="14"/>
    </font>
    <font>
      <name val="Calibri"/>
      <b val="1"/>
      <color rgb="00003366"/>
      <sz val="12"/>
    </font>
    <font>
      <name val="Calibri"/>
      <b val="1"/>
      <sz val="12"/>
    </font>
    <font>
      <name val="Calibri"/>
      <b val="1"/>
      <sz val="20"/>
    </font>
    <font>
      <name val="Calibri"/>
      <b val="1"/>
      <sz val="16"/>
    </font>
    <font>
      <name val="Calibri"/>
      <b val="1"/>
      <color rgb="004472C4"/>
      <sz val="14"/>
    </font>
    <font>
      <name val="Calibri"/>
      <sz val="10"/>
    </font>
  </fonts>
  <fills count="10">
    <fill>
      <patternFill/>
    </fill>
    <fill>
      <patternFill patternType="gray125"/>
    </fill>
    <fill>
      <patternFill patternType="solid">
        <fgColor rgb="00003366"/>
        <bgColor rgb="00003366"/>
      </patternFill>
    </fill>
    <fill>
      <patternFill patternType="solid">
        <fgColor rgb="00D9D9D9"/>
        <bgColor rgb="00D9D9D9"/>
      </patternFill>
    </fill>
    <fill>
      <patternFill patternType="solid">
        <fgColor rgb="00FFFFCC"/>
        <bgColor rgb="00FFFFCC"/>
      </patternFill>
    </fill>
    <fill>
      <patternFill patternType="solid">
        <fgColor rgb="00F2F2F2"/>
        <bgColor rgb="00F2F2F2"/>
      </patternFill>
    </fill>
    <fill>
      <patternFill patternType="solid">
        <fgColor rgb="004472C4"/>
        <bgColor rgb="004472C4"/>
      </patternFill>
    </fill>
    <fill>
      <patternFill patternType="solid">
        <fgColor rgb="00C6EFCE"/>
        <bgColor rgb="00C6EFCE"/>
      </patternFill>
    </fill>
    <fill>
      <patternFill patternType="solid">
        <fgColor rgb="00FFEB9C"/>
        <bgColor rgb="00FFEB9C"/>
      </patternFill>
    </fill>
    <fill>
      <patternFill patternType="solid">
        <fgColor rgb="00FFC7CE"/>
        <bgColor rgb="00FFC7CE"/>
      </patternFill>
    </fill>
  </fills>
  <borders count="2">
    <border>
      <left/>
      <right/>
      <top/>
      <bottom/>
      <diagonal/>
    </border>
    <border>
      <left style="thin"/>
      <right style="thin"/>
      <top style="thin"/>
      <bottom style="thin"/>
    </border>
  </borders>
  <cellStyleXfs count="1">
    <xf numFmtId="0" fontId="0" fillId="0" borderId="0"/>
  </cellStyleXfs>
  <cellXfs count="27">
    <xf numFmtId="0" fontId="0" fillId="0" borderId="0" pivotButton="0" quotePrefix="0" xfId="0"/>
    <xf numFmtId="0" fontId="1" fillId="2" borderId="0" applyAlignment="1" pivotButton="0" quotePrefix="0" xfId="0">
      <alignment horizontal="center" vertical="center" wrapText="1"/>
    </xf>
    <xf numFmtId="0" fontId="9" fillId="0" borderId="0" applyAlignment="1" pivotButton="0" quotePrefix="0" xfId="0">
      <alignment horizontal="left" vertical="center"/>
    </xf>
    <xf numFmtId="0" fontId="3" fillId="0" borderId="1" pivotButton="0" quotePrefix="0" xfId="0"/>
    <xf numFmtId="0" fontId="0" fillId="0" borderId="1" pivotButton="0" quotePrefix="0" xfId="0"/>
    <xf numFmtId="0" fontId="0" fillId="4" borderId="1" applyAlignment="1" pivotButton="0" quotePrefix="0" xfId="0">
      <alignment horizontal="left" vertical="center" wrapText="1"/>
    </xf>
    <xf numFmtId="0" fontId="7" fillId="6" borderId="0" applyAlignment="1" pivotButton="0" quotePrefix="0" xfId="0">
      <alignment horizontal="left" vertical="center" wrapText="1"/>
    </xf>
    <xf numFmtId="0" fontId="10" fillId="0" borderId="0" pivotButton="0" quotePrefix="0" xfId="0"/>
    <xf numFmtId="0" fontId="11" fillId="0" borderId="0" applyAlignment="1" pivotButton="0" quotePrefix="0" xfId="0">
      <alignment horizontal="center" vertical="center"/>
    </xf>
    <xf numFmtId="0" fontId="12" fillId="0" borderId="0" applyAlignment="1" pivotButton="0" quotePrefix="0" xfId="0">
      <alignment horizontal="center" vertical="center"/>
    </xf>
    <xf numFmtId="0" fontId="13" fillId="5" borderId="1" applyAlignment="1" pivotButton="0" quotePrefix="0" xfId="0">
      <alignment horizontal="center" vertical="center"/>
    </xf>
    <xf numFmtId="0" fontId="3" fillId="3" borderId="1" applyAlignment="1" pivotButton="0" quotePrefix="0" xfId="0">
      <alignment horizontal="center" vertical="center" wrapText="1"/>
    </xf>
    <xf numFmtId="0" fontId="0" fillId="4" borderId="1" applyAlignment="1" pivotButton="0" quotePrefix="0" xfId="0">
      <alignment horizontal="left" vertical="top" wrapText="1"/>
    </xf>
    <xf numFmtId="0" fontId="6" fillId="0" borderId="0" pivotButton="0" quotePrefix="0" xfId="0"/>
    <xf numFmtId="0" fontId="14" fillId="0" borderId="1" pivotButton="0" quotePrefix="0" xfId="0"/>
    <xf numFmtId="0" fontId="2" fillId="5" borderId="1" applyAlignment="1" pivotButton="0" quotePrefix="0" xfId="0">
      <alignment horizontal="center" vertical="center"/>
    </xf>
    <xf numFmtId="0" fontId="7" fillId="2" borderId="1" applyAlignment="1" pivotButton="0" quotePrefix="0" xfId="0">
      <alignment horizontal="center" vertical="center"/>
    </xf>
    <xf numFmtId="0" fontId="8" fillId="7" borderId="1" applyAlignment="1" pivotButton="0" quotePrefix="0" xfId="0">
      <alignment horizontal="center" vertical="center"/>
    </xf>
    <xf numFmtId="0" fontId="8" fillId="8" borderId="1" applyAlignment="1" pivotButton="0" quotePrefix="0" xfId="0">
      <alignment horizontal="center" vertical="center"/>
    </xf>
    <xf numFmtId="0" fontId="8" fillId="9" borderId="1" applyAlignment="1" pivotButton="0" quotePrefix="0" xfId="0">
      <alignment horizontal="center" vertical="center"/>
    </xf>
    <xf numFmtId="0" fontId="8" fillId="5" borderId="1" applyAlignment="1" pivotButton="0" quotePrefix="0" xfId="0">
      <alignment horizontal="center" vertical="center"/>
    </xf>
    <xf numFmtId="0" fontId="2" fillId="0" borderId="0" applyAlignment="1" pivotButton="0" quotePrefix="0" xfId="0">
      <alignment horizontal="center"/>
    </xf>
    <xf numFmtId="0" fontId="4" fillId="0" borderId="1" pivotButton="0" quotePrefix="0" xfId="0"/>
    <xf numFmtId="0" fontId="5" fillId="0" borderId="1" applyAlignment="1" pivotButton="0" quotePrefix="0" xfId="0">
      <alignment vertical="center" wrapText="1"/>
    </xf>
    <xf numFmtId="0" fontId="0" fillId="0" borderId="1" applyAlignment="1" pivotButton="0" quotePrefix="0" xfId="0">
      <alignment horizontal="left" vertical="center" wrapText="1"/>
    </xf>
    <xf numFmtId="0" fontId="0" fillId="4" borderId="1" applyAlignment="1" pivotButton="0" quotePrefix="0" xfId="0">
      <alignment horizontal="center" vertical="center"/>
    </xf>
    <xf numFmtId="164" fontId="0" fillId="4" borderId="1" applyAlignment="1" pivotButton="0" quotePrefix="0" xfId="0">
      <alignment horizontal="left" vertical="center" wrapText="1"/>
    </xf>
  </cellXfs>
  <cellStyles count="1">
    <cellStyle name="Normal" xfId="0" builtinId="0" hidden="0"/>
  </cellStyles>
  <dxfs count="4">
    <dxf>
      <fill>
        <patternFill patternType="solid">
          <fgColor rgb="00C6EFCE"/>
          <bgColor rgb="00C6EFCE"/>
        </patternFill>
      </fill>
    </dxf>
    <dxf>
      <fill>
        <patternFill patternType="solid">
          <fgColor rgb="00FFEB9C"/>
          <bgColor rgb="00FFEB9C"/>
        </patternFill>
      </fill>
    </dxf>
    <dxf>
      <fill>
        <patternFill patternType="solid">
          <fgColor rgb="00FFC7CE"/>
          <bgColor rgb="00FFC7CE"/>
        </patternFill>
      </fill>
    </dxf>
    <dxf>
      <fill>
        <patternFill patternType="solid">
          <fgColor rgb="00F2F2F2"/>
          <bgColor rgb="00F2F2F2"/>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003366"/>
    <outlinePr summaryBelow="1" summaryRight="1"/>
    <pageSetUpPr fitToPage="1"/>
  </sheetPr>
  <dimension ref="A1:H60"/>
  <sheetViews>
    <sheetView workbookViewId="0">
      <selection activeCell="A1" sqref="A1"/>
    </sheetView>
  </sheetViews>
  <sheetFormatPr baseColWidth="8" defaultRowHeight="15"/>
  <cols>
    <col width="28" customWidth="1" min="1" max="1"/>
    <col width="22" customWidth="1" min="2" max="2"/>
    <col width="22" customWidth="1" min="3" max="3"/>
    <col width="18" customWidth="1" min="4" max="4"/>
    <col width="18" customWidth="1" min="5" max="5"/>
    <col width="18" customWidth="1" min="6" max="6"/>
    <col width="18" customWidth="1" min="7" max="7"/>
    <col width="18" customWidth="1" min="8" max="8"/>
  </cols>
  <sheetData>
    <row r="1" ht="40" customHeight="1">
      <c r="A1" s="1" t="inlineStr">
        <is>
          <t>PRIV-CHK-A.1.3.11 — Automated Decision Making Compliance Checklist</t>
        </is>
      </c>
    </row>
    <row r="3">
      <c r="A3" s="2" t="inlineStr">
        <is>
          <t>DOCUMENT INFORMATION</t>
        </is>
      </c>
    </row>
    <row r="4">
      <c r="A4" s="3" t="inlineStr">
        <is>
          <t>Document ID</t>
        </is>
      </c>
      <c r="B4" s="4" t="inlineStr">
        <is>
          <t>PRIV-CHK-A.1.3.11</t>
        </is>
      </c>
    </row>
    <row r="5">
      <c r="A5" s="3" t="inlineStr">
        <is>
          <t>Source Policy</t>
        </is>
      </c>
      <c r="B5" s="4" t="inlineStr">
        <is>
          <t>PRIV-POL-A.1.3.11</t>
        </is>
      </c>
    </row>
    <row r="6">
      <c r="A6" s="3" t="inlineStr">
        <is>
          <t>ISO Controls</t>
        </is>
      </c>
      <c r="B6" s="4" t="inlineStr">
        <is>
          <t>Automated Decision Making</t>
        </is>
      </c>
    </row>
    <row r="7">
      <c r="A7" s="3" t="inlineStr">
        <is>
          <t>Generated</t>
        </is>
      </c>
      <c r="B7" s="4" t="inlineStr">
        <is>
          <t>10.03.2026</t>
        </is>
      </c>
    </row>
    <row r="8">
      <c r="A8" s="3" t="inlineStr">
        <is>
          <t>Prepared By</t>
        </is>
      </c>
      <c r="B8" s="5" t="inlineStr"/>
    </row>
    <row r="9">
      <c r="A9" s="3" t="inlineStr">
        <is>
          <t>Organisation</t>
        </is>
      </c>
      <c r="B9" s="5" t="inlineStr"/>
    </row>
    <row r="10">
      <c r="A10" s="3" t="inlineStr">
        <is>
          <t>Review Cycle</t>
        </is>
      </c>
      <c r="B10" s="4" t="inlineStr">
        <is>
          <t>Annual</t>
        </is>
      </c>
    </row>
    <row r="12">
      <c r="A12" s="6" t="inlineStr">
        <is>
          <t>OVERALL COMPLIANCE STATUS</t>
        </is>
      </c>
    </row>
    <row r="13">
      <c r="A13" s="7" t="inlineStr">
        <is>
          <t>Overall Compliance</t>
        </is>
      </c>
      <c r="B13" s="8">
        <f>'Dashboard'!G7</f>
        <v/>
      </c>
    </row>
    <row r="14">
      <c r="A14" s="7" t="inlineStr">
        <is>
          <t>Status</t>
        </is>
      </c>
      <c r="B14" s="9">
        <f>IF(Dashboard!G7="N/A","NOT ASSESSED",IF(ISNUMBER(VALUE(SUBSTITUTE(Dashboard!G7,"%",""))),IF(VALUE(SUBSTITUTE(Dashboard!G7,"%",""))&gt;=90,"GREEN",IF(VALUE(SUBSTITUTE(Dashboard!G7,"%",""))&gt;=70,"AMBER","RED")),"NOT ASSESSED"))</f>
        <v/>
      </c>
    </row>
    <row r="16">
      <c r="A16" s="6" t="inlineStr">
        <is>
          <t>KEY METRICS</t>
        </is>
      </c>
    </row>
    <row r="17">
      <c r="A17" s="3" t="inlineStr">
        <is>
          <t>Total Requirements</t>
        </is>
      </c>
      <c r="B17" s="10">
        <f>'Dashboard'!B7</f>
        <v/>
      </c>
    </row>
    <row r="18">
      <c r="A18" s="3" t="inlineStr">
        <is>
          <t>Compliant</t>
        </is>
      </c>
      <c r="B18" s="10">
        <f>'Dashboard'!C7</f>
        <v/>
      </c>
    </row>
    <row r="19">
      <c r="A19" s="3" t="inlineStr">
        <is>
          <t>Partial</t>
        </is>
      </c>
      <c r="B19" s="10">
        <f>'Dashboard'!D7</f>
        <v/>
      </c>
    </row>
    <row r="20">
      <c r="A20" s="3" t="inlineStr">
        <is>
          <t>Non-Compliant</t>
        </is>
      </c>
      <c r="B20" s="10">
        <f>'Dashboard'!E7</f>
        <v/>
      </c>
    </row>
    <row r="21">
      <c r="A21" s="3" t="inlineStr">
        <is>
          <t>Not Applicable</t>
        </is>
      </c>
      <c r="B21" s="10">
        <f>'Dashboard'!F7</f>
        <v/>
      </c>
    </row>
    <row r="22">
      <c r="A22" s="3" t="inlineStr">
        <is>
          <t>Owner Coverage</t>
        </is>
      </c>
      <c r="B22" s="10">
        <f>IF(Dashboard!B7=0,"N/A",ROUND((COUNTA('ADM Identification'!F4:F7)+COUNTA('Obligations and Safeguards'!F4:F8)+COUNTA('Transparency and Demonstrability'!F4:F7))/Dashboard!B7*100,0)&amp;"%")</f>
        <v/>
      </c>
    </row>
    <row r="24">
      <c r="A24" s="6" t="inlineStr">
        <is>
          <t>DOMAIN STATUS SUMMARY</t>
        </is>
      </c>
    </row>
    <row r="25">
      <c r="A25" s="11" t="inlineStr">
        <is>
          <t>Domain</t>
        </is>
      </c>
      <c r="B25" s="11" t="inlineStr">
        <is>
          <t>Compliance %</t>
        </is>
      </c>
      <c r="C25" s="11" t="inlineStr">
        <is>
          <t>Compliant</t>
        </is>
      </c>
      <c r="D25" s="11" t="inlineStr">
        <is>
          <t>Gaps</t>
        </is>
      </c>
      <c r="E25" s="11" t="inlineStr">
        <is>
          <t>Status</t>
        </is>
      </c>
    </row>
    <row r="26">
      <c r="A26" s="4" t="inlineStr">
        <is>
          <t>ADM Identification</t>
        </is>
      </c>
      <c r="B26" s="4">
        <f>'Dashboard'!G4</f>
        <v/>
      </c>
      <c r="C26" s="4">
        <f>'Dashboard'!C4</f>
        <v/>
      </c>
      <c r="D26" s="4">
        <f>'Dashboard'!E4</f>
        <v/>
      </c>
      <c r="E26" s="4">
        <f>IF(Dashboard!G4="N/A","--",IF(ISNUMBER(VALUE(SUBSTITUTE(Dashboard!G4,"%",""))),IF(VALUE(SUBSTITUTE(Dashboard!G4,"%",""))&gt;=90,"PASS",IF(VALUE(SUBSTITUTE(Dashboard!G4,"%",""))&gt;=70,"REVIEW","FAIL")),"--"))</f>
        <v/>
      </c>
    </row>
    <row r="27">
      <c r="A27" s="4" t="inlineStr">
        <is>
          <t>Obligations and Safeguards</t>
        </is>
      </c>
      <c r="B27" s="4">
        <f>'Dashboard'!G5</f>
        <v/>
      </c>
      <c r="C27" s="4">
        <f>'Dashboard'!C5</f>
        <v/>
      </c>
      <c r="D27" s="4">
        <f>'Dashboard'!E5</f>
        <v/>
      </c>
      <c r="E27" s="4">
        <f>IF(Dashboard!G5="N/A","--",IF(ISNUMBER(VALUE(SUBSTITUTE(Dashboard!G5,"%",""))),IF(VALUE(SUBSTITUTE(Dashboard!G5,"%",""))&gt;=90,"PASS",IF(VALUE(SUBSTITUTE(Dashboard!G5,"%",""))&gt;=70,"REVIEW","FAIL")),"--"))</f>
        <v/>
      </c>
    </row>
    <row r="28">
      <c r="A28" s="4" t="inlineStr">
        <is>
          <t>Transparency and Demonstrability</t>
        </is>
      </c>
      <c r="B28" s="4">
        <f>'Dashboard'!G6</f>
        <v/>
      </c>
      <c r="C28" s="4">
        <f>'Dashboard'!C6</f>
        <v/>
      </c>
      <c r="D28" s="4">
        <f>'Dashboard'!E6</f>
        <v/>
      </c>
      <c r="E28" s="4">
        <f>IF(Dashboard!G6="N/A","--",IF(ISNUMBER(VALUE(SUBSTITUTE(Dashboard!G6,"%",""))),IF(VALUE(SUBSTITUTE(Dashboard!G6,"%",""))&gt;=90,"PASS",IF(VALUE(SUBSTITUTE(Dashboard!G6,"%",""))&gt;=70,"REVIEW","FAIL")),"--"))</f>
        <v/>
      </c>
    </row>
    <row r="30">
      <c r="A30" s="6" t="inlineStr">
        <is>
          <t>CRITICAL ISSUES</t>
        </is>
      </c>
    </row>
    <row r="31">
      <c r="A31" s="11" t="inlineStr">
        <is>
          <t>#</t>
        </is>
      </c>
      <c r="B31" s="11" t="inlineStr">
        <is>
          <t>Issue Description</t>
        </is>
      </c>
      <c r="C31" s="11" t="inlineStr">
        <is>
          <t>Domain</t>
        </is>
      </c>
      <c r="D31" s="11" t="inlineStr">
        <is>
          <t>Owner</t>
        </is>
      </c>
      <c r="E31" s="11" t="inlineStr">
        <is>
          <t>Due Date</t>
        </is>
      </c>
    </row>
    <row r="32">
      <c r="A32" s="4" t="n">
        <v>1</v>
      </c>
      <c r="B32" s="5" t="n"/>
      <c r="C32" s="5" t="n"/>
      <c r="D32" s="5" t="n"/>
      <c r="E32" s="5" t="n"/>
    </row>
    <row r="33">
      <c r="A33" s="4" t="n">
        <v>2</v>
      </c>
      <c r="B33" s="5" t="n"/>
      <c r="C33" s="5" t="n"/>
      <c r="D33" s="5" t="n"/>
      <c r="E33" s="5" t="n"/>
    </row>
    <row r="34">
      <c r="A34" s="4" t="n">
        <v>3</v>
      </c>
      <c r="B34" s="5" t="n"/>
      <c r="C34" s="5" t="n"/>
      <c r="D34" s="5" t="n"/>
      <c r="E34" s="5" t="n"/>
    </row>
    <row r="35">
      <c r="A35" s="4" t="n">
        <v>4</v>
      </c>
      <c r="B35" s="5" t="n"/>
      <c r="C35" s="5" t="n"/>
      <c r="D35" s="5" t="n"/>
      <c r="E35" s="5" t="n"/>
    </row>
    <row r="36">
      <c r="A36" s="4" t="n">
        <v>5</v>
      </c>
      <c r="B36" s="5" t="n"/>
      <c r="C36" s="5" t="n"/>
      <c r="D36" s="5" t="n"/>
      <c r="E36" s="5" t="n"/>
    </row>
    <row r="38">
      <c r="A38" s="6" t="inlineStr">
        <is>
          <t>MANAGEMENT COMMENTARY</t>
        </is>
      </c>
    </row>
    <row r="39" ht="60" customHeight="1">
      <c r="A39" s="12" t="inlineStr">
        <is>
          <t>[Enter management commentary on automated decision making posture]</t>
        </is>
      </c>
    </row>
    <row r="40"/>
    <row r="41"/>
    <row r="43">
      <c r="A43" s="6" t="inlineStr">
        <is>
          <t>APPROVAL</t>
        </is>
      </c>
    </row>
    <row r="44">
      <c r="A44" s="13" t="inlineStr">
        <is>
          <t>Assessed By</t>
        </is>
      </c>
    </row>
    <row r="45">
      <c r="A45" s="14" t="inlineStr">
        <is>
          <t>Name:</t>
        </is>
      </c>
      <c r="B45" s="5" t="n"/>
    </row>
    <row r="46">
      <c r="A46" s="14" t="inlineStr">
        <is>
          <t>Date:</t>
        </is>
      </c>
      <c r="B46" s="5" t="n"/>
    </row>
    <row r="47">
      <c r="A47" s="14" t="inlineStr">
        <is>
          <t>Signature:</t>
        </is>
      </c>
      <c r="B47" s="5" t="n"/>
    </row>
    <row r="48">
      <c r="A48" s="14" t="inlineStr">
        <is>
          <t>Decision:</t>
        </is>
      </c>
      <c r="B48" s="5" t="n"/>
    </row>
    <row r="50">
      <c r="A50" s="13" t="inlineStr">
        <is>
          <t>Reviewed By (DPO)</t>
        </is>
      </c>
    </row>
    <row r="51">
      <c r="A51" s="14" t="inlineStr">
        <is>
          <t>Name:</t>
        </is>
      </c>
      <c r="B51" s="5" t="n"/>
    </row>
    <row r="52">
      <c r="A52" s="14" t="inlineStr">
        <is>
          <t>Date:</t>
        </is>
      </c>
      <c r="B52" s="5" t="n"/>
    </row>
    <row r="53">
      <c r="A53" s="14" t="inlineStr">
        <is>
          <t>Signature:</t>
        </is>
      </c>
      <c r="B53" s="5" t="n"/>
    </row>
    <row r="54">
      <c r="A54" s="14" t="inlineStr">
        <is>
          <t>Decision:</t>
        </is>
      </c>
      <c r="B54" s="5" t="n"/>
    </row>
    <row r="56">
      <c r="A56" s="13" t="inlineStr">
        <is>
          <t>Approved By (CEO / CISO)</t>
        </is>
      </c>
    </row>
    <row r="57">
      <c r="A57" s="14" t="inlineStr">
        <is>
          <t>Name:</t>
        </is>
      </c>
      <c r="B57" s="5" t="n"/>
    </row>
    <row r="58">
      <c r="A58" s="14" t="inlineStr">
        <is>
          <t>Date:</t>
        </is>
      </c>
      <c r="B58" s="5" t="n"/>
    </row>
    <row r="59">
      <c r="A59" s="14" t="inlineStr">
        <is>
          <t>Signature:</t>
        </is>
      </c>
      <c r="B59" s="5" t="n"/>
    </row>
    <row r="60">
      <c r="A60" s="14" t="inlineStr">
        <is>
          <t>Decision:</t>
        </is>
      </c>
      <c r="B60" s="5" t="n"/>
    </row>
  </sheetData>
  <mergeCells count="12">
    <mergeCell ref="A12:H12"/>
    <mergeCell ref="A30:H30"/>
    <mergeCell ref="A43:H43"/>
    <mergeCell ref="A24:H24"/>
    <mergeCell ref="A16:H16"/>
    <mergeCell ref="A38:H38"/>
    <mergeCell ref="A44:B44"/>
    <mergeCell ref="A1:H1"/>
    <mergeCell ref="A56:B56"/>
    <mergeCell ref="A3:B3"/>
    <mergeCell ref="A39:H41"/>
    <mergeCell ref="A50:B50"/>
  </mergeCells>
  <dataValidations count="1">
    <dataValidation sqref="B48 B54 B60" showDropDown="0" showInputMessage="0" showErrorMessage="0" allowBlank="1" type="list">
      <formula1>"Approved,Approved with Conditions,Not Approved"</formula1>
    </dataValidation>
  </dataValidations>
  <pageMargins left="0.75" right="0.75" top="1" bottom="1" header="0.5" footer="0.5"/>
  <pageSetup orientation="landscape" paperSize="9" fitToHeight="1" fitToWidth="1"/>
</worksheet>
</file>

<file path=xl/worksheets/sheet2.xml><?xml version="1.0" encoding="utf-8"?>
<worksheet xmlns="http://schemas.openxmlformats.org/spreadsheetml/2006/main">
  <sheetPr>
    <tabColor rgb="004472C4"/>
    <outlinePr summaryBelow="1" summaryRight="1"/>
    <pageSetUpPr/>
  </sheetPr>
  <dimension ref="A1:G33"/>
  <sheetViews>
    <sheetView workbookViewId="0">
      <selection activeCell="A1" sqref="A1"/>
    </sheetView>
  </sheetViews>
  <sheetFormatPr baseColWidth="8" defaultRowHeight="15"/>
  <cols>
    <col width="28" customWidth="1" min="1" max="1"/>
    <col width="14" customWidth="1" min="2" max="2"/>
    <col width="14" customWidth="1" min="3" max="3"/>
    <col width="14" customWidth="1" min="4" max="4"/>
    <col width="16" customWidth="1" min="5" max="5"/>
    <col width="10" customWidth="1" min="6" max="6"/>
    <col width="16" customWidth="1" min="7" max="7"/>
  </cols>
  <sheetData>
    <row r="1" ht="40" customHeight="1">
      <c r="A1" s="1" t="inlineStr">
        <is>
          <t>Automated Decision Making — Compliance Dashboard</t>
        </is>
      </c>
    </row>
    <row r="3">
      <c r="A3" s="11" t="inlineStr">
        <is>
          <t>Domain</t>
        </is>
      </c>
      <c r="B3" s="11" t="inlineStr">
        <is>
          <t>Total Reqs</t>
        </is>
      </c>
      <c r="C3" s="11" t="inlineStr">
        <is>
          <t>Compliant</t>
        </is>
      </c>
      <c r="D3" s="11" t="inlineStr">
        <is>
          <t>Partial</t>
        </is>
      </c>
      <c r="E3" s="11" t="inlineStr">
        <is>
          <t>Non-Compliant</t>
        </is>
      </c>
      <c r="F3" s="11" t="inlineStr">
        <is>
          <t>N/A</t>
        </is>
      </c>
      <c r="G3" s="11" t="inlineStr">
        <is>
          <t>Compliance %</t>
        </is>
      </c>
    </row>
    <row r="4">
      <c r="A4" s="3" t="inlineStr">
        <is>
          <t>ADM Identification</t>
        </is>
      </c>
      <c r="B4" s="15">
        <f>COUNTA('ADM Identification'!D4:D7)</f>
        <v/>
      </c>
      <c r="C4" s="15">
        <f>COUNTIF('ADM Identification'!D4:D7,"Compliant")</f>
        <v/>
      </c>
      <c r="D4" s="15">
        <f>COUNTIF('ADM Identification'!D4:D7,"Partial")</f>
        <v/>
      </c>
      <c r="E4" s="15">
        <f>COUNTIF('ADM Identification'!D4:D7,"Non-Compliant")</f>
        <v/>
      </c>
      <c r="F4" s="15">
        <f>COUNTIF('ADM Identification'!D4:D7,"N/A")</f>
        <v/>
      </c>
      <c r="G4" s="15">
        <f>IF((B4-F4)=0,"N/A",ROUND(C4/(B4-F4)*100,1)&amp;"%")</f>
        <v/>
      </c>
    </row>
    <row r="5">
      <c r="A5" s="3" t="inlineStr">
        <is>
          <t>Obligations and Safeguards</t>
        </is>
      </c>
      <c r="B5" s="15">
        <f>COUNTA('Obligations and Safeguards'!D4:D8)</f>
        <v/>
      </c>
      <c r="C5" s="15">
        <f>COUNTIF('Obligations and Safeguards'!D4:D8,"Compliant")</f>
        <v/>
      </c>
      <c r="D5" s="15">
        <f>COUNTIF('Obligations and Safeguards'!D4:D8,"Partial")</f>
        <v/>
      </c>
      <c r="E5" s="15">
        <f>COUNTIF('Obligations and Safeguards'!D4:D8,"Non-Compliant")</f>
        <v/>
      </c>
      <c r="F5" s="15">
        <f>COUNTIF('Obligations and Safeguards'!D4:D8,"N/A")</f>
        <v/>
      </c>
      <c r="G5" s="15">
        <f>IF((B5-F5)=0,"N/A",ROUND(C5/(B5-F5)*100,1)&amp;"%")</f>
        <v/>
      </c>
    </row>
    <row r="6">
      <c r="A6" s="3" t="inlineStr">
        <is>
          <t>Transparency and Demonstrability</t>
        </is>
      </c>
      <c r="B6" s="15">
        <f>COUNTA('Transparency and Demonstrability'!D4:D7)</f>
        <v/>
      </c>
      <c r="C6" s="15">
        <f>COUNTIF('Transparency and Demonstrability'!D4:D7,"Compliant")</f>
        <v/>
      </c>
      <c r="D6" s="15">
        <f>COUNTIF('Transparency and Demonstrability'!D4:D7,"Partial")</f>
        <v/>
      </c>
      <c r="E6" s="15">
        <f>COUNTIF('Transparency and Demonstrability'!D4:D7,"Non-Compliant")</f>
        <v/>
      </c>
      <c r="F6" s="15">
        <f>COUNTIF('Transparency and Demonstrability'!D4:D7,"N/A")</f>
        <v/>
      </c>
      <c r="G6" s="15">
        <f>IF((B6-F6)=0,"N/A",ROUND(C6/(B6-F6)*100,1)&amp;"%")</f>
        <v/>
      </c>
    </row>
    <row r="7">
      <c r="A7" s="16" t="inlineStr">
        <is>
          <t>TOTAL</t>
        </is>
      </c>
      <c r="B7" s="16">
        <f>SUM(B4:B6)</f>
        <v/>
      </c>
      <c r="C7" s="16">
        <f>SUM(C4:C6)</f>
        <v/>
      </c>
      <c r="D7" s="16">
        <f>SUM(D4:D6)</f>
        <v/>
      </c>
      <c r="E7" s="16">
        <f>SUM(E4:E6)</f>
        <v/>
      </c>
      <c r="F7" s="16">
        <f>SUM(F4:F6)</f>
        <v/>
      </c>
      <c r="G7" s="16">
        <f>IF((B7-F7)=0,"N/A",ROUND(C7/(B7-F7)*100,1)&amp;"%")</f>
        <v/>
      </c>
    </row>
    <row r="9">
      <c r="A9" s="6" t="inlineStr">
        <is>
          <t>COMPLIANCE BY STATUS</t>
        </is>
      </c>
    </row>
    <row r="10">
      <c r="A10" s="3" t="inlineStr">
        <is>
          <t>Compliant</t>
        </is>
      </c>
      <c r="B10" s="17">
        <f>C7</f>
        <v/>
      </c>
      <c r="C10" s="4">
        <f>IF(B7=0,"",ROUND(B10/B7*100,1)&amp;"%")</f>
        <v/>
      </c>
    </row>
    <row r="11">
      <c r="A11" s="3" t="inlineStr">
        <is>
          <t>Partial</t>
        </is>
      </c>
      <c r="B11" s="18">
        <f>D7</f>
        <v/>
      </c>
      <c r="C11" s="4">
        <f>IF(B7=0,"",ROUND(B11/B7*100,1)&amp;"%")</f>
        <v/>
      </c>
    </row>
    <row r="12">
      <c r="A12" s="3" t="inlineStr">
        <is>
          <t>Non-Compliant</t>
        </is>
      </c>
      <c r="B12" s="19">
        <f>E7</f>
        <v/>
      </c>
      <c r="C12" s="4">
        <f>IF(B7=0,"",ROUND(B12/B7*100,1)&amp;"%")</f>
        <v/>
      </c>
    </row>
    <row r="13">
      <c r="A13" s="3" t="inlineStr">
        <is>
          <t>N/A</t>
        </is>
      </c>
      <c r="B13" s="20">
        <f>F7</f>
        <v/>
      </c>
      <c r="C13" s="4">
        <f>IF(B7=0,"",ROUND(B13/B7*100,1)&amp;"%")</f>
        <v/>
      </c>
    </row>
    <row r="15">
      <c r="A15" s="6" t="inlineStr">
        <is>
          <t>TOP GAPS (Manual Entry)</t>
        </is>
      </c>
    </row>
    <row r="16">
      <c r="A16" s="11" t="inlineStr">
        <is>
          <t>Priority</t>
        </is>
      </c>
      <c r="B16" s="11" t="inlineStr">
        <is>
          <t>Domain</t>
        </is>
      </c>
      <c r="C16" s="11" t="inlineStr">
        <is>
          <t>Requirement</t>
        </is>
      </c>
      <c r="D16" s="11" t="inlineStr">
        <is>
          <t>Owner</t>
        </is>
      </c>
      <c r="E16" s="11" t="inlineStr">
        <is>
          <t>Due Date</t>
        </is>
      </c>
      <c r="F16" s="11" t="inlineStr">
        <is>
          <t>Status</t>
        </is>
      </c>
    </row>
    <row r="17">
      <c r="A17" s="5" t="n"/>
      <c r="B17" s="5" t="n"/>
      <c r="C17" s="5" t="n"/>
      <c r="D17" s="5" t="n"/>
      <c r="E17" s="5" t="n"/>
      <c r="F17" s="5" t="n"/>
    </row>
    <row r="18">
      <c r="A18" s="5" t="n"/>
      <c r="B18" s="5" t="n"/>
      <c r="C18" s="5" t="n"/>
      <c r="D18" s="5" t="n"/>
      <c r="E18" s="5" t="n"/>
      <c r="F18" s="5" t="n"/>
    </row>
    <row r="19">
      <c r="A19" s="5" t="n"/>
      <c r="B19" s="5" t="n"/>
      <c r="C19" s="5" t="n"/>
      <c r="D19" s="5" t="n"/>
      <c r="E19" s="5" t="n"/>
      <c r="F19" s="5" t="n"/>
    </row>
    <row r="20">
      <c r="A20" s="5" t="n"/>
      <c r="B20" s="5" t="n"/>
      <c r="C20" s="5" t="n"/>
      <c r="D20" s="5" t="n"/>
      <c r="E20" s="5" t="n"/>
      <c r="F20" s="5" t="n"/>
    </row>
    <row r="21">
      <c r="A21" s="5" t="n"/>
      <c r="B21" s="5" t="n"/>
      <c r="C21" s="5" t="n"/>
      <c r="D21" s="5" t="n"/>
      <c r="E21" s="5" t="n"/>
      <c r="F21" s="5" t="n"/>
    </row>
    <row r="22">
      <c r="A22" s="5" t="n"/>
      <c r="B22" s="5" t="n"/>
      <c r="C22" s="5" t="n"/>
      <c r="D22" s="5" t="n"/>
      <c r="E22" s="5" t="n"/>
      <c r="F22" s="5" t="n"/>
    </row>
    <row r="23">
      <c r="A23" s="5" t="n"/>
      <c r="B23" s="5" t="n"/>
      <c r="C23" s="5" t="n"/>
      <c r="D23" s="5" t="n"/>
      <c r="E23" s="5" t="n"/>
      <c r="F23" s="5" t="n"/>
    </row>
    <row r="24">
      <c r="A24" s="5" t="n"/>
      <c r="B24" s="5" t="n"/>
      <c r="C24" s="5" t="n"/>
      <c r="D24" s="5" t="n"/>
      <c r="E24" s="5" t="n"/>
      <c r="F24" s="5" t="n"/>
    </row>
    <row r="25">
      <c r="A25" s="5" t="n"/>
      <c r="B25" s="5" t="n"/>
      <c r="C25" s="5" t="n"/>
      <c r="D25" s="5" t="n"/>
      <c r="E25" s="5" t="n"/>
      <c r="F25" s="5" t="n"/>
    </row>
    <row r="26">
      <c r="A26" s="5" t="n"/>
      <c r="B26" s="5" t="n"/>
      <c r="C26" s="5" t="n"/>
      <c r="D26" s="5" t="n"/>
      <c r="E26" s="5" t="n"/>
      <c r="F26" s="5" t="n"/>
    </row>
    <row r="28">
      <c r="A28" s="6" t="inlineStr">
        <is>
          <t>COMPLIANCE TREND (Manual Entry)</t>
        </is>
      </c>
    </row>
    <row r="29">
      <c r="A29" s="11" t="inlineStr">
        <is>
          <t>Assessment Date</t>
        </is>
      </c>
      <c r="B29" s="11" t="inlineStr">
        <is>
          <t>Overall %</t>
        </is>
      </c>
      <c r="C29" s="11" t="inlineStr">
        <is>
          <t>Compliant</t>
        </is>
      </c>
      <c r="D29" s="11" t="inlineStr">
        <is>
          <t>Gaps</t>
        </is>
      </c>
      <c r="E29" s="11" t="inlineStr">
        <is>
          <t>Assessor</t>
        </is>
      </c>
      <c r="F29" s="11" t="inlineStr">
        <is>
          <t>Notes</t>
        </is>
      </c>
    </row>
    <row r="30">
      <c r="A30" s="5" t="n"/>
      <c r="B30" s="5" t="n"/>
      <c r="C30" s="5" t="n"/>
      <c r="D30" s="5" t="n"/>
      <c r="E30" s="5" t="n"/>
      <c r="F30" s="5" t="n"/>
    </row>
    <row r="31">
      <c r="A31" s="5" t="n"/>
      <c r="B31" s="5" t="n"/>
      <c r="C31" s="5" t="n"/>
      <c r="D31" s="5" t="n"/>
      <c r="E31" s="5" t="n"/>
      <c r="F31" s="5" t="n"/>
    </row>
    <row r="32">
      <c r="A32" s="5" t="n"/>
      <c r="B32" s="5" t="n"/>
      <c r="C32" s="5" t="n"/>
      <c r="D32" s="5" t="n"/>
      <c r="E32" s="5" t="n"/>
      <c r="F32" s="5" t="n"/>
    </row>
    <row r="33">
      <c r="A33" s="5" t="n"/>
      <c r="B33" s="5" t="n"/>
      <c r="C33" s="5" t="n"/>
      <c r="D33" s="5" t="n"/>
      <c r="E33" s="5" t="n"/>
      <c r="F33" s="5" t="n"/>
    </row>
  </sheetData>
  <mergeCells count="4">
    <mergeCell ref="A15:G15"/>
    <mergeCell ref="A1:G1"/>
    <mergeCell ref="A28:G28"/>
    <mergeCell ref="A9:G9"/>
  </mergeCells>
  <dataValidations count="1">
    <dataValidation sqref="F17 F18 F19 F20 F21 F22 F23 F24 F25 F26" showDropDown="0" showInputMessage="0" showErrorMessage="0" allowBlank="1" type="list">
      <formula1>"Open,In Progress,Closed,Deferred"</formula1>
    </dataValidation>
  </dataValidations>
  <pageMargins left="0.75" right="0.75" top="1" bottom="1" header="0.5" footer="0.5"/>
</worksheet>
</file>

<file path=xl/worksheets/sheet3.xml><?xml version="1.0" encoding="utf-8"?>
<worksheet xmlns="http://schemas.openxmlformats.org/spreadsheetml/2006/main">
  <sheetPr>
    <tabColor rgb="004472C4"/>
    <outlinePr summaryBelow="1" summaryRight="1"/>
    <pageSetUpPr/>
  </sheetPr>
  <dimension ref="A1:H7"/>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ADM Identification — Compliance Checklist</t>
        </is>
      </c>
    </row>
    <row r="2">
      <c r="A2" s="21" t="inlineStr">
        <is>
          <t>ISO/IEC 27701:2025 — Controls A.1.3.11: Automated Decision Making</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A.1.3.11-01</t>
        </is>
      </c>
      <c r="B4" s="23" t="inlineStr">
        <is>
          <t>ADM Scope Identification</t>
        </is>
      </c>
      <c r="C4" s="24" t="inlineStr">
        <is>
          <t>The organisation shall identify and document all processing activities where decisions are made based solely on automated processing of PII (without meaningful human involvement) AND those decisions produce legal effects or similarly significant effects on data subjects.</t>
        </is>
      </c>
      <c r="D4" s="25" t="n"/>
      <c r="E4" s="5" t="n"/>
      <c r="F4" s="5" t="n"/>
      <c r="G4" s="26" t="n"/>
      <c r="H4" s="5" t="n"/>
    </row>
    <row r="5" ht="40" customHeight="1">
      <c r="A5" s="22" t="inlineStr">
        <is>
          <t>A.1.3.11-02</t>
        </is>
      </c>
      <c r="B5" s="23" t="inlineStr">
        <is>
          <t>ADM Register</t>
        </is>
      </c>
      <c r="C5" s="24" t="inlineStr">
        <is>
          <t>The DPO shall maintain an ADM Register listing all in-scope automated decision-making activities. The register shall be updated whenever new ADM activities are deployed or existing ones are materially changed.</t>
        </is>
      </c>
      <c r="D5" s="25" t="n"/>
      <c r="E5" s="5" t="n"/>
      <c r="F5" s="5" t="n"/>
      <c r="G5" s="26" t="n"/>
      <c r="H5" s="5" t="n"/>
    </row>
    <row r="6" ht="40" customHeight="1">
      <c r="A6" s="22" t="inlineStr">
        <is>
          <t>A.1.3.11-03</t>
        </is>
      </c>
      <c r="B6" s="23" t="inlineStr">
        <is>
          <t>DPO Approval for New ADM</t>
        </is>
      </c>
      <c r="C6" s="24" t="inlineStr">
        <is>
          <t>New ADM activities shall be notified to and approved by the DPO before deployment. Development and product teams shall flag ADM activities during product design, not after deployment.</t>
        </is>
      </c>
      <c r="D6" s="25" t="n"/>
      <c r="E6" s="5" t="n"/>
      <c r="F6" s="5" t="n"/>
      <c r="G6" s="26" t="n"/>
      <c r="H6" s="5" t="n"/>
    </row>
    <row r="7" ht="40" customHeight="1">
      <c r="A7" s="22" t="inlineStr">
        <is>
          <t>A.1.3.11-04</t>
        </is>
      </c>
      <c r="B7" s="23" t="inlineStr">
        <is>
          <t>Special Category PII in ADM</t>
        </is>
      </c>
      <c r="C7" s="24" t="inlineStr">
        <is>
          <t>ADM activities that process special category PII require an Article 9(2) condition in addition to an Article 22 exception, explicit DPO approval, and in most cases a DPIA (per PRIV-POL-A.1.2.6-9).</t>
        </is>
      </c>
      <c r="D7" s="25" t="n"/>
      <c r="E7" s="5" t="n"/>
      <c r="F7" s="5" t="n"/>
      <c r="G7" s="26" t="n"/>
      <c r="H7" s="5" t="n"/>
    </row>
  </sheetData>
  <mergeCells count="2">
    <mergeCell ref="A2:H2"/>
    <mergeCell ref="A1:H1"/>
  </mergeCells>
  <conditionalFormatting sqref="D4:D7">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D6 D7"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xl/worksheets/sheet4.xml><?xml version="1.0" encoding="utf-8"?>
<worksheet xmlns="http://schemas.openxmlformats.org/spreadsheetml/2006/main">
  <sheetPr>
    <tabColor rgb="004472C4"/>
    <outlinePr summaryBelow="1" summaryRight="1"/>
    <pageSetUpPr/>
  </sheetPr>
  <dimension ref="A1:H8"/>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Obligations and Safeguards — Compliance Checklist</t>
        </is>
      </c>
    </row>
    <row r="2">
      <c r="A2" s="21" t="inlineStr">
        <is>
          <t>ISO/IEC 27701:2025 — Controls A.1.3.11: Automated Decision Making</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A.1.3.11-05</t>
        </is>
      </c>
      <c r="B4" s="23" t="inlineStr">
        <is>
          <t>Obligations Identification</t>
        </is>
      </c>
      <c r="C4" s="24" t="inlineStr">
        <is>
          <t>For each ADM activity, the organisation shall identify and document: the right not to be subject to the decision (Article 22(1)); the applicable Article 22 exception (contract, law, or explicit consent); and safeguards required where an exception is invoked.</t>
        </is>
      </c>
      <c r="D4" s="25" t="n"/>
      <c r="E4" s="5" t="n"/>
      <c r="F4" s="5" t="n"/>
      <c r="G4" s="26" t="n"/>
      <c r="H4" s="5" t="n"/>
    </row>
    <row r="5" ht="40" customHeight="1">
      <c r="A5" s="22" t="inlineStr">
        <is>
          <t>A.1.3.11-06</t>
        </is>
      </c>
      <c r="B5" s="23" t="inlineStr">
        <is>
          <t>Article 22 Exception Documentation</t>
        </is>
      </c>
      <c r="C5" s="24" t="inlineStr">
        <is>
          <t>Where an exception to Article 22 is invoked, the specific exception (necessary for contract, authorised by law, or explicit consent) shall be documented in the ADM Register with supporting evidence of the applicable exception.</t>
        </is>
      </c>
      <c r="D5" s="25" t="n"/>
      <c r="E5" s="5" t="n"/>
      <c r="F5" s="5" t="n"/>
      <c r="G5" s="26" t="n"/>
      <c r="H5" s="5" t="n"/>
    </row>
    <row r="6" ht="40" customHeight="1">
      <c r="A6" s="22" t="inlineStr">
        <is>
          <t>A.1.3.11-07</t>
        </is>
      </c>
      <c r="B6" s="23" t="inlineStr">
        <is>
          <t>Human Review Right</t>
        </is>
      </c>
      <c r="C6" s="24" t="inlineStr">
        <is>
          <t>Where ADM produces significant effects and an Article 22 exception is invoked, a mechanism for data subjects to request human intervention shall be implemented — meaning a named person reviews the automated output before the decision is finalised or reconsidered.</t>
        </is>
      </c>
      <c r="D6" s="25" t="n"/>
      <c r="E6" s="5" t="n"/>
      <c r="F6" s="5" t="n"/>
      <c r="G6" s="26" t="n"/>
      <c r="H6" s="5" t="n"/>
    </row>
    <row r="7" ht="40" customHeight="1">
      <c r="A7" s="22" t="inlineStr">
        <is>
          <t>A.1.3.11-08</t>
        </is>
      </c>
      <c r="B7" s="23" t="inlineStr">
        <is>
          <t>Point of View and Contestation</t>
        </is>
      </c>
      <c r="C7" s="24" t="inlineStr">
        <is>
          <t>Where ADM produces significant effects and an Article 22 exception is invoked, mechanisms for data subjects to express their point of view about the decision and to contest the automated decision shall be implemented and communicated to data subjects.</t>
        </is>
      </c>
      <c r="D7" s="25" t="n"/>
      <c r="E7" s="5" t="n"/>
      <c r="F7" s="5" t="n"/>
      <c r="G7" s="26" t="n"/>
      <c r="H7" s="5" t="n"/>
    </row>
    <row r="8" ht="40" customHeight="1">
      <c r="A8" s="22" t="inlineStr">
        <is>
          <t>A.1.3.11-09</t>
        </is>
      </c>
      <c r="B8" s="23" t="inlineStr">
        <is>
          <t>Safeguards Communication</t>
        </is>
      </c>
      <c r="C8" s="24" t="inlineStr">
        <is>
          <t>Safeguards (human review, point of view, contestation) shall be communicated to data subjects in the privacy notice and upon the automated decision being communicated to them.</t>
        </is>
      </c>
      <c r="D8" s="25" t="n"/>
      <c r="E8" s="5" t="n"/>
      <c r="F8" s="5" t="n"/>
      <c r="G8" s="26" t="n"/>
      <c r="H8" s="5" t="n"/>
    </row>
  </sheetData>
  <mergeCells count="2">
    <mergeCell ref="A2:H2"/>
    <mergeCell ref="A1:H1"/>
  </mergeCells>
  <conditionalFormatting sqref="D4:D8">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D6 D7 D8"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xl/worksheets/sheet5.xml><?xml version="1.0" encoding="utf-8"?>
<worksheet xmlns="http://schemas.openxmlformats.org/spreadsheetml/2006/main">
  <sheetPr>
    <tabColor rgb="004472C4"/>
    <outlinePr summaryBelow="1" summaryRight="1"/>
    <pageSetUpPr/>
  </sheetPr>
  <dimension ref="A1:H7"/>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Transparency and Demonstrability — Compliance Checklist</t>
        </is>
      </c>
    </row>
    <row r="2">
      <c r="A2" s="21" t="inlineStr">
        <is>
          <t>ISO/IEC 27701:2025 — Controls A.1.3.11: Automated Decision Making</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A.1.3.11-10</t>
        </is>
      </c>
      <c r="B4" s="23" t="inlineStr">
        <is>
          <t>Transparency Information</t>
        </is>
      </c>
      <c r="C4" s="24" t="inlineStr">
        <is>
          <t>For each ADM activity in scope, the transparency information provided to data subjects shall include: the existence of automated decision-making; meaningful information about the logic involved (at a level data subjects can understand); and the significance and envisaged consequences of such processing.</t>
        </is>
      </c>
      <c r="D4" s="25" t="n"/>
      <c r="E4" s="5" t="n"/>
      <c r="F4" s="5" t="n"/>
      <c r="G4" s="26" t="n"/>
      <c r="H4" s="5" t="n"/>
    </row>
    <row r="5" ht="40" customHeight="1">
      <c r="A5" s="22" t="inlineStr">
        <is>
          <t>A.1.3.11-11</t>
        </is>
      </c>
      <c r="B5" s="23" t="inlineStr">
        <is>
          <t>Privacy Notice Coverage</t>
        </is>
      </c>
      <c r="C5" s="24" t="inlineStr">
        <is>
          <t>The organisation's privacy notice shall include ADM transparency information covering all in-scope ADM activities. The information shall be updated whenever the ADM activities or their logic changes materially.</t>
        </is>
      </c>
      <c r="D5" s="25" t="n"/>
      <c r="E5" s="5" t="n"/>
      <c r="F5" s="5" t="n"/>
      <c r="G5" s="26" t="n"/>
      <c r="H5" s="5" t="n"/>
    </row>
    <row r="6" ht="40" customHeight="1">
      <c r="A6" s="22" t="inlineStr">
        <is>
          <t>A.1.3.11-12</t>
        </is>
      </c>
      <c r="B6" s="23" t="inlineStr">
        <is>
          <t>Demonstrability</t>
        </is>
      </c>
      <c r="C6" s="24" t="inlineStr">
        <is>
          <t>The organisation shall be able to demonstrate how it addresses its obligations for each ADM activity at any time, to supervisory authorities, data subjects, and certification auditors. The ADM Register and associated documentation (including DPIAs where conducted) are the primary demonstrability evidence.</t>
        </is>
      </c>
      <c r="D6" s="25" t="n"/>
      <c r="E6" s="5" t="n"/>
      <c r="F6" s="5" t="n"/>
      <c r="G6" s="26" t="n"/>
      <c r="H6" s="5" t="n"/>
    </row>
    <row r="7" ht="40" customHeight="1">
      <c r="A7" s="22" t="inlineStr">
        <is>
          <t>A.1.3.11-13</t>
        </is>
      </c>
      <c r="B7" s="23" t="inlineStr">
        <is>
          <t>ADM Review</t>
        </is>
      </c>
      <c r="C7" s="24" t="inlineStr">
        <is>
          <t>ADM activities and their associated obligations documentation shall be reviewed at minimum annually, when the underlying processing or algorithm changes materially, and following any supervisory authority guidance on automated decision-making.</t>
        </is>
      </c>
      <c r="D7" s="25" t="n"/>
      <c r="E7" s="5" t="n"/>
      <c r="F7" s="5" t="n"/>
      <c r="G7" s="26" t="n"/>
      <c r="H7" s="5" t="n"/>
    </row>
  </sheetData>
  <mergeCells count="2">
    <mergeCell ref="A2:H2"/>
    <mergeCell ref="A1:H1"/>
  </mergeCells>
  <conditionalFormatting sqref="D4:D7">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D6 D7"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2026-03-10T18:05:06Z</dcterms:created>
  <dcterms:modified xmlns:dcterms="http://purl.org/dc/terms/" xmlns:xsi="http://www.w3.org/2001/XMLSchema-instance" xsi:type="dcterms:W3CDTF">2026-03-10T18:05:06Z</dcterms:modified>
</cp:coreProperties>
</file>