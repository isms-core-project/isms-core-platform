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Transfer Basis Notification" sheetId="3" state="visible" r:id="rId3"/>
    <sheet xmlns:r="http://schemas.openxmlformats.org/officeDocument/2006/relationships" name="Transfer Destinations" sheetId="4" state="visible" r:id="rId4"/>
    <sheet xmlns:r="http://schemas.openxmlformats.org/officeDocument/2006/relationships" name="Disclosure Records" sheetId="5" state="visible" r:id="rId5"/>
    <sheet xmlns:r="http://schemas.openxmlformats.org/officeDocument/2006/relationships" name="Disclosure Request Handling" sheetId="6" state="visible" r:id="rId6"/>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PRIV-CHK-A.2.5.2-6 — Transfer and Disclosure (Processor) Compliance Checklist</t>
        </is>
      </c>
    </row>
    <row r="3">
      <c r="A3" s="2" t="inlineStr">
        <is>
          <t>DOCUMENT INFORMATION</t>
        </is>
      </c>
    </row>
    <row r="4">
      <c r="A4" s="3" t="inlineStr">
        <is>
          <t>Document ID</t>
        </is>
      </c>
      <c r="B4" s="4" t="inlineStr">
        <is>
          <t>PRIV-CHK-A.2.5.2-6</t>
        </is>
      </c>
    </row>
    <row r="5">
      <c r="A5" s="3" t="inlineStr">
        <is>
          <t>Source Policy</t>
        </is>
      </c>
      <c r="B5" s="4" t="inlineStr">
        <is>
          <t>PRIV-POL-A.2.5.2-6</t>
        </is>
      </c>
    </row>
    <row r="6">
      <c r="A6" s="3" t="inlineStr">
        <is>
          <t>ISO Controls</t>
        </is>
      </c>
      <c r="B6" s="4" t="inlineStr">
        <is>
          <t>Transfer and Disclosure (Processor)</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'Dashboard'!G8</f>
        <v/>
      </c>
    </row>
    <row r="14">
      <c r="A14" s="7" t="inlineStr">
        <is>
          <t>Status</t>
        </is>
      </c>
      <c r="B14" s="9">
        <f>IF(Dashboard!G8="N/A","NOT ASSESSED",IF(ISNUMBER(VALUE(SUBSTITUTE(Dashboard!G8,"%",""))),IF(VALUE(SUBSTITUTE(Dashboard!G8,"%",""))&gt;=90,"GREEN",IF(VALUE(SUBSTITUTE(Dashboard!G8,"%",""))&gt;=70,"AMBER","RED")),"NOT ASSESSED"))</f>
        <v/>
      </c>
    </row>
    <row r="16">
      <c r="A16" s="6" t="inlineStr">
        <is>
          <t>KEY METRICS</t>
        </is>
      </c>
    </row>
    <row r="17">
      <c r="A17" s="3" t="inlineStr">
        <is>
          <t>Total Requirements</t>
        </is>
      </c>
      <c r="B17" s="10">
        <f>'Dashboard'!B8</f>
        <v/>
      </c>
    </row>
    <row r="18">
      <c r="A18" s="3" t="inlineStr">
        <is>
          <t>Compliant</t>
        </is>
      </c>
      <c r="B18" s="10">
        <f>'Dashboard'!C8</f>
        <v/>
      </c>
    </row>
    <row r="19">
      <c r="A19" s="3" t="inlineStr">
        <is>
          <t>Partial</t>
        </is>
      </c>
      <c r="B19" s="10">
        <f>'Dashboard'!D8</f>
        <v/>
      </c>
    </row>
    <row r="20">
      <c r="A20" s="3" t="inlineStr">
        <is>
          <t>Non-Compliant</t>
        </is>
      </c>
      <c r="B20" s="10">
        <f>'Dashboard'!E8</f>
        <v/>
      </c>
    </row>
    <row r="21">
      <c r="A21" s="3" t="inlineStr">
        <is>
          <t>Not Applicable</t>
        </is>
      </c>
      <c r="B21" s="10">
        <f>'Dashboard'!F8</f>
        <v/>
      </c>
    </row>
    <row r="22">
      <c r="A22" s="3" t="inlineStr">
        <is>
          <t>Owner Coverage</t>
        </is>
      </c>
      <c r="B22" s="10">
        <f>IF(Dashboard!B8=0,"N/A",ROUND((COUNTA('Transfer Basis Notification'!F4:F7)+COUNTA('Transfer Destinations'!F4:F6)+COUNTA('Disclosure Records'!F4:F6)+COUNTA('Disclosure Request Handling'!F4:F8))/Dashboard!B8*100,0)&amp;"%")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Transfer Basis Notification</t>
        </is>
      </c>
      <c r="B26" s="4">
        <f>'Dashboard'!G4</f>
        <v/>
      </c>
      <c r="C26" s="4">
        <f>'Dashboard'!C4</f>
        <v/>
      </c>
      <c r="D26" s="4">
        <f>'Dashboard'!E4</f>
        <v/>
      </c>
      <c r="E26" s="4">
        <f>IF(Dashboard!G4="N/A","--",IF(ISNUMBER(VALUE(SUBSTITUTE(Dashboard!G4,"%",""))),IF(VALUE(SUBSTITUTE(Dashboard!G4,"%",""))&gt;=90,"PASS",IF(VALUE(SUBSTITUTE(Dashboard!G4,"%",""))&gt;=70,"REVIEW","FAIL")),"--"))</f>
        <v/>
      </c>
    </row>
    <row r="27">
      <c r="A27" s="4" t="inlineStr">
        <is>
          <t>Transfer Destinations</t>
        </is>
      </c>
      <c r="B27" s="4">
        <f>'Dashboard'!G5</f>
        <v/>
      </c>
      <c r="C27" s="4">
        <f>'Dashboard'!C5</f>
        <v/>
      </c>
      <c r="D27" s="4">
        <f>'Dashboard'!E5</f>
        <v/>
      </c>
      <c r="E27" s="4">
        <f>IF(Dashboard!G5="N/A","--",IF(ISNUMBER(VALUE(SUBSTITUTE(Dashboard!G5,"%",""))),IF(VALUE(SUBSTITUTE(Dashboard!G5,"%",""))&gt;=90,"PASS",IF(VALUE(SUBSTITUTE(Dashboard!G5,"%",""))&gt;=70,"REVIEW","FAIL")),"--"))</f>
        <v/>
      </c>
    </row>
    <row r="28">
      <c r="A28" s="4" t="inlineStr">
        <is>
          <t>Disclosure Records</t>
        </is>
      </c>
      <c r="B28" s="4">
        <f>'Dashboard'!G6</f>
        <v/>
      </c>
      <c r="C28" s="4">
        <f>'Dashboard'!C6</f>
        <v/>
      </c>
      <c r="D28" s="4">
        <f>'Dashboard'!E6</f>
        <v/>
      </c>
      <c r="E28" s="4">
        <f>IF(Dashboard!G6="N/A","--",IF(ISNUMBER(VALUE(SUBSTITUTE(Dashboard!G6,"%",""))),IF(VALUE(SUBSTITUTE(Dashboard!G6,"%",""))&gt;=90,"PASS",IF(VALUE(SUBSTITUTE(Dashboard!G6,"%",""))&gt;=70,"REVIEW","FAIL")),"--"))</f>
        <v/>
      </c>
    </row>
    <row r="29">
      <c r="A29" s="4" t="inlineStr">
        <is>
          <t>Disclosure Request Handling</t>
        </is>
      </c>
      <c r="B29" s="4">
        <f>'Dashboard'!G7</f>
        <v/>
      </c>
      <c r="C29" s="4">
        <f>'Dashboard'!C7</f>
        <v/>
      </c>
      <c r="D29" s="4">
        <f>'Dashboard'!E7</f>
        <v/>
      </c>
      <c r="E29" s="4">
        <f>IF(Dashboard!G7="N/A","--",IF(ISNUMBER(VALUE(SUBSTITUTE(Dashboard!G7,"%",""))),IF(VALUE(SUBSTITUTE(Dashboard!G7,"%",""))&gt;=90,"PASS",IF(VALUE(SUBSTITUTE(Dashboard!G7,"%",""))&gt;=70,"REVIEW","FAIL")),"--"))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transfer and disclosure (processor)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(DPO)</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57:B57"/>
    <mergeCell ref="A24:H24"/>
    <mergeCell ref="A16:H16"/>
    <mergeCell ref="A31:H31"/>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Transfer and Disclosure (Processor)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Transfer Basis Notification</t>
        </is>
      </c>
      <c r="B4" s="15">
        <f>COUNTA('Transfer Basis Notification'!D4:D7)</f>
        <v/>
      </c>
      <c r="C4" s="15">
        <f>COUNTIF('Transfer Basis Notification'!D4:D7,"Compliant")</f>
        <v/>
      </c>
      <c r="D4" s="15">
        <f>COUNTIF('Transfer Basis Notification'!D4:D7,"Partial")</f>
        <v/>
      </c>
      <c r="E4" s="15">
        <f>COUNTIF('Transfer Basis Notification'!D4:D7,"Non-Compliant")</f>
        <v/>
      </c>
      <c r="F4" s="15">
        <f>COUNTIF('Transfer Basis Notification'!D4:D7,"N/A")</f>
        <v/>
      </c>
      <c r="G4" s="15">
        <f>IF((B4-F4)=0,"N/A",ROUND(C4/(B4-F4)*100,1)&amp;"%")</f>
        <v/>
      </c>
    </row>
    <row r="5">
      <c r="A5" s="3" t="inlineStr">
        <is>
          <t>Transfer Destinations</t>
        </is>
      </c>
      <c r="B5" s="15">
        <f>COUNTA('Transfer Destinations'!D4:D6)</f>
        <v/>
      </c>
      <c r="C5" s="15">
        <f>COUNTIF('Transfer Destinations'!D4:D6,"Compliant")</f>
        <v/>
      </c>
      <c r="D5" s="15">
        <f>COUNTIF('Transfer Destinations'!D4:D6,"Partial")</f>
        <v/>
      </c>
      <c r="E5" s="15">
        <f>COUNTIF('Transfer Destinations'!D4:D6,"Non-Compliant")</f>
        <v/>
      </c>
      <c r="F5" s="15">
        <f>COUNTIF('Transfer Destinations'!D4:D6,"N/A")</f>
        <v/>
      </c>
      <c r="G5" s="15">
        <f>IF((B5-F5)=0,"N/A",ROUND(C5/(B5-F5)*100,1)&amp;"%")</f>
        <v/>
      </c>
    </row>
    <row r="6">
      <c r="A6" s="3" t="inlineStr">
        <is>
          <t>Disclosure Records</t>
        </is>
      </c>
      <c r="B6" s="15">
        <f>COUNTA('Disclosure Records'!D4:D6)</f>
        <v/>
      </c>
      <c r="C6" s="15">
        <f>COUNTIF('Disclosure Records'!D4:D6,"Compliant")</f>
        <v/>
      </c>
      <c r="D6" s="15">
        <f>COUNTIF('Disclosure Records'!D4:D6,"Partial")</f>
        <v/>
      </c>
      <c r="E6" s="15">
        <f>COUNTIF('Disclosure Records'!D4:D6,"Non-Compliant")</f>
        <v/>
      </c>
      <c r="F6" s="15">
        <f>COUNTIF('Disclosure Records'!D4:D6,"N/A")</f>
        <v/>
      </c>
      <c r="G6" s="15">
        <f>IF((B6-F6)=0,"N/A",ROUND(C6/(B6-F6)*100,1)&amp;"%")</f>
        <v/>
      </c>
    </row>
    <row r="7">
      <c r="A7" s="3" t="inlineStr">
        <is>
          <t>Disclosure Request Handling</t>
        </is>
      </c>
      <c r="B7" s="15">
        <f>COUNTA('Disclosure Request Handling'!D4:D8)</f>
        <v/>
      </c>
      <c r="C7" s="15">
        <f>COUNTIF('Disclosure Request Handling'!D4:D8,"Compliant")</f>
        <v/>
      </c>
      <c r="D7" s="15">
        <f>COUNTIF('Disclosure Request Handling'!D4:D8,"Partial")</f>
        <v/>
      </c>
      <c r="E7" s="15">
        <f>COUNTIF('Disclosure Request Handling'!D4:D8,"Non-Compliant")</f>
        <v/>
      </c>
      <c r="F7" s="15">
        <f>COUNTIF('Disclosure Request Handling'!D4:D8,"N/A")</f>
        <v/>
      </c>
      <c r="G7" s="15">
        <f>IF((B7-F7)=0,"N/A",ROUND(C7/(B7-F7)*100,1)&amp;"%")</f>
        <v/>
      </c>
    </row>
    <row r="8">
      <c r="A8" s="16" t="inlineStr">
        <is>
          <t>TOTAL</t>
        </is>
      </c>
      <c r="B8" s="16">
        <f>SUM(B4:B7)</f>
        <v/>
      </c>
      <c r="C8" s="16">
        <f>SUM(C4:C7)</f>
        <v/>
      </c>
      <c r="D8" s="16">
        <f>SUM(D4:D7)</f>
        <v/>
      </c>
      <c r="E8" s="16">
        <f>SUM(E4:E7)</f>
        <v/>
      </c>
      <c r="F8" s="16">
        <f>SUM(F4:F7)</f>
        <v/>
      </c>
      <c r="G8" s="16">
        <f>IF((B8-F8)=0,"N/A",ROUND(C8/(B8-F8)*100,1)&amp;"%")</f>
        <v/>
      </c>
    </row>
    <row r="10">
      <c r="A10" s="6" t="inlineStr">
        <is>
          <t>COMPLIANCE BY STATUS</t>
        </is>
      </c>
    </row>
    <row r="11">
      <c r="A11" s="3" t="inlineStr">
        <is>
          <t>Compliant</t>
        </is>
      </c>
      <c r="B11" s="17">
        <f>C8</f>
        <v/>
      </c>
      <c r="C11" s="4">
        <f>IF(B8=0,"",ROUND(B11/B8*100,1)&amp;"%")</f>
        <v/>
      </c>
    </row>
    <row r="12">
      <c r="A12" s="3" t="inlineStr">
        <is>
          <t>Partial</t>
        </is>
      </c>
      <c r="B12" s="18">
        <f>D8</f>
        <v/>
      </c>
      <c r="C12" s="4">
        <f>IF(B8=0,"",ROUND(B12/B8*100,1)&amp;"%")</f>
        <v/>
      </c>
    </row>
    <row r="13">
      <c r="A13" s="3" t="inlineStr">
        <is>
          <t>Non-Compliant</t>
        </is>
      </c>
      <c r="B13" s="19">
        <f>E8</f>
        <v/>
      </c>
      <c r="C13" s="4">
        <f>IF(B8=0,"",ROUND(B13/B8*100,1)&amp;"%")</f>
        <v/>
      </c>
    </row>
    <row r="14">
      <c r="A14" s="3" t="inlineStr">
        <is>
          <t>N/A</t>
        </is>
      </c>
      <c r="B14" s="20">
        <f>F8</f>
        <v/>
      </c>
      <c r="C14" s="4">
        <f>IF(B8=0,"",ROUND(B14/B8*100,1)&amp;"%")</f>
        <v/>
      </c>
    </row>
    <row r="16">
      <c r="A16" s="6" t="inlineStr">
        <is>
          <t>TOP GAPS (Manual Entry)</t>
        </is>
      </c>
    </row>
    <row r="17">
      <c r="A17" s="11" t="inlineStr">
        <is>
          <t>Priority</t>
        </is>
      </c>
      <c r="B17" s="11" t="inlineStr">
        <is>
          <t>Domain</t>
        </is>
      </c>
      <c r="C17" s="11" t="inlineStr">
        <is>
          <t>Requirement</t>
        </is>
      </c>
      <c r="D17" s="11" t="inlineStr">
        <is>
          <t>Owner</t>
        </is>
      </c>
      <c r="E17" s="11" t="inlineStr">
        <is>
          <t>Due Date</t>
        </is>
      </c>
      <c r="F17" s="11" t="inlineStr">
        <is>
          <t>Status</t>
        </is>
      </c>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9">
      <c r="A29" s="6" t="inlineStr">
        <is>
          <t>COMPLIANCE TREND (Manual Entry)</t>
        </is>
      </c>
    </row>
    <row r="30">
      <c r="A30" s="11" t="inlineStr">
        <is>
          <t>Assessment Date</t>
        </is>
      </c>
      <c r="B30" s="11" t="inlineStr">
        <is>
          <t>Overall %</t>
        </is>
      </c>
      <c r="C30" s="11" t="inlineStr">
        <is>
          <t>Compliant</t>
        </is>
      </c>
      <c r="D30" s="11" t="inlineStr">
        <is>
          <t>Gaps</t>
        </is>
      </c>
      <c r="E30" s="11" t="inlineStr">
        <is>
          <t>Assessor</t>
        </is>
      </c>
      <c r="F30" s="11" t="inlineStr">
        <is>
          <t>Notes</t>
        </is>
      </c>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sheetData>
  <mergeCells count="4">
    <mergeCell ref="A16:G16"/>
    <mergeCell ref="A1:G1"/>
    <mergeCell ref="A10:G10"/>
    <mergeCell ref="A29:G29"/>
  </mergeCells>
  <dataValidations count="1">
    <dataValidation sqref="F18 F19 F20 F21 F22 F23 F24 F25 F26 F2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Transfer Basis Notification — Compliance Checklist</t>
        </is>
      </c>
    </row>
    <row r="2">
      <c r="A2" s="21" t="inlineStr">
        <is>
          <t>ISO/IEC 27701:2025 — Controls A.2.5.2-6: Transfer and Disclosure (Processor)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A.2.5.2-01</t>
        </is>
      </c>
      <c r="B4" s="23" t="inlineStr">
        <is>
          <t>Customer Notification</t>
        </is>
      </c>
      <c r="C4" s="24" t="inlineStr">
        <is>
          <t>The organisation shall inform each customer in a timely manner of the legal basis for any PII transfers between jurisdictions carried out on their behalf. The transfer basis (adequacy, SCCs, BCRs) for each transfer destination shall be documented and provided in the processor agreement or associated data processing schedule.</t>
        </is>
      </c>
      <c r="D4" s="25" t="n"/>
      <c r="E4" s="5" t="n"/>
      <c r="F4" s="5" t="n"/>
      <c r="G4" s="26" t="n"/>
      <c r="H4" s="5" t="n"/>
    </row>
    <row r="5" ht="40" customHeight="1">
      <c r="A5" s="22" t="inlineStr">
        <is>
          <t>A.2.5.2-02</t>
        </is>
      </c>
      <c r="B5" s="23" t="inlineStr">
        <is>
          <t>Change Notification</t>
        </is>
      </c>
      <c r="C5" s="24" t="inlineStr">
        <is>
          <t>Where the organisation intends to change a transfer basis or add a new transfer destination, customers shall be notified in advance with sufficient time to object or terminate the contract. The notification period shall be as specified in the processor agreement (typically minimum 30 days for non-urgent changes).</t>
        </is>
      </c>
      <c r="D5" s="25" t="n"/>
      <c r="E5" s="5" t="n"/>
      <c r="F5" s="5" t="n"/>
      <c r="G5" s="26" t="n"/>
      <c r="H5" s="5" t="n"/>
    </row>
    <row r="6" ht="40" customHeight="1">
      <c r="A6" s="22" t="inlineStr">
        <is>
          <t>A.2.5.2-03</t>
        </is>
      </c>
      <c r="B6" s="23" t="inlineStr">
        <is>
          <t>Change Notification Records</t>
        </is>
      </c>
      <c r="C6" s="24" t="inlineStr">
        <is>
          <t>Records of customer notifications for transfer basis changes shall be maintained for 3 years, including the nature of the change, date of notification, and customer response (objection or no-objection).</t>
        </is>
      </c>
      <c r="D6" s="25" t="n"/>
      <c r="E6" s="5" t="n"/>
      <c r="F6" s="5" t="n"/>
      <c r="G6" s="26" t="n"/>
      <c r="H6" s="5" t="n"/>
    </row>
    <row r="7" ht="40" customHeight="1">
      <c r="A7" s="22" t="inlineStr">
        <is>
          <t>A.2.5.2-04</t>
        </is>
      </c>
      <c r="B7" s="23" t="inlineStr">
        <is>
          <t>Objection Handling</t>
        </is>
      </c>
      <c r="C7" s="24" t="inlineStr">
        <is>
          <t>Where a customer objects to a proposed transfer basis change or new destination, the organisation shall have a documented process for handling objections, including implementing alternative measures or allowing termination without penalty.</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Transfer Destinations — Compliance Checklist</t>
        </is>
      </c>
    </row>
    <row r="2">
      <c r="A2" s="21" t="inlineStr">
        <is>
          <t>ISO/IEC 27701:2025 — Controls A.2.5.2-6: Transfer and Disclosure (Processor)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A.2.5.3-01</t>
        </is>
      </c>
      <c r="B4" s="23" t="inlineStr">
        <is>
          <t>Transfer Destination Register</t>
        </is>
      </c>
      <c r="C4" s="24" t="inlineStr">
        <is>
          <t>The DPO shall maintain a Transfer Destination Register listing all countries and international organisations to which customer PII may be transferred in the course of service delivery, including transfer mechanism, legal basis, and applicable PII categories.</t>
        </is>
      </c>
      <c r="D4" s="25" t="n"/>
      <c r="E4" s="5" t="n"/>
      <c r="F4" s="5" t="n"/>
      <c r="G4" s="26" t="n"/>
      <c r="H4" s="5" t="n"/>
    </row>
    <row r="5" ht="40" customHeight="1">
      <c r="A5" s="22" t="inlineStr">
        <is>
          <t>A.2.5.3-02</t>
        </is>
      </c>
      <c r="B5" s="23" t="inlineStr">
        <is>
          <t>Customer Availability</t>
        </is>
      </c>
      <c r="C5" s="24" t="inlineStr">
        <is>
          <t>The Transfer Destination Register shall be made available to customers in the processor agreement or data processing schedule. Updates to the register require customer notification per A.2.5.2.</t>
        </is>
      </c>
      <c r="D5" s="25" t="n"/>
      <c r="E5" s="5" t="n"/>
      <c r="F5" s="5" t="n"/>
      <c r="G5" s="26" t="n"/>
      <c r="H5" s="5" t="n"/>
    </row>
    <row r="6" ht="40" customHeight="1">
      <c r="A6" s="22" t="inlineStr">
        <is>
          <t>A.2.5.3-03</t>
        </is>
      </c>
      <c r="B6" s="23" t="inlineStr">
        <is>
          <t>Register Currency</t>
        </is>
      </c>
      <c r="C6" s="24" t="inlineStr">
        <is>
          <t>The Transfer Destination Register shall be updated when new sub-processors or infrastructure require new transfer destinations, when adequacy status changes, and at minimum annually. Customers shall be notified of changes that affect their processing.</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Disclosure Records — Compliance Checklist</t>
        </is>
      </c>
    </row>
    <row r="2">
      <c r="A2" s="21" t="inlineStr">
        <is>
          <t>ISO/IEC 27701:2025 — Controls A.2.5.2-6: Transfer and Disclosure (Processor)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A.2.5.4-01</t>
        </is>
      </c>
      <c r="B4" s="23" t="inlineStr">
        <is>
          <t>Processor Disclosure Register</t>
        </is>
      </c>
      <c r="C4" s="24" t="inlineStr">
        <is>
          <t>The organisation shall maintain a Processor Disclosure Register logging each disclosure of customer PII to third parties: date, third party identity, PII categories disclosed, and basis (customer instruction, legal obligation, or contractual obligation). Records shall be retained for minimum 3 years.</t>
        </is>
      </c>
      <c r="D4" s="25" t="n"/>
      <c r="E4" s="5" t="n"/>
      <c r="F4" s="5" t="n"/>
      <c r="G4" s="26" t="n"/>
      <c r="H4" s="5" t="n"/>
    </row>
    <row r="5" ht="40" customHeight="1">
      <c r="A5" s="22" t="inlineStr">
        <is>
          <t>A.2.5.4-02</t>
        </is>
      </c>
      <c r="B5" s="23" t="inlineStr">
        <is>
          <t>Customer Availability</t>
        </is>
      </c>
      <c r="C5" s="24" t="inlineStr">
        <is>
          <t>Disclosure records shall be made available to customers upon request to support customer demonstrability obligations and data subject access requests (which require identification of PII recipients).</t>
        </is>
      </c>
      <c r="D5" s="25" t="n"/>
      <c r="E5" s="5" t="n"/>
      <c r="F5" s="5" t="n"/>
      <c r="G5" s="26" t="n"/>
      <c r="H5" s="5" t="n"/>
    </row>
    <row r="6" ht="40" customHeight="1">
      <c r="A6" s="22" t="inlineStr">
        <is>
          <t>A.2.5.4-03</t>
        </is>
      </c>
      <c r="B6" s="23" t="inlineStr">
        <is>
          <t>Sub-processor Disclosures</t>
        </is>
      </c>
      <c r="C6" s="24" t="inlineStr">
        <is>
          <t>Disclosures to sub-processors shall be documented separately per PRIV-POL-A.2.5.7-9 (Sub-processor Register). Sub-processor disclosures are covered by the customer's general sub-processor authorisation.</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Disclosure Request Handling — Compliance Checklist</t>
        </is>
      </c>
    </row>
    <row r="2">
      <c r="A2" s="21" t="inlineStr">
        <is>
          <t>ISO/IEC 27701:2025 — Controls A.2.5.2-6: Transfer and Disclosure (Processor)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A.2.5.5-01</t>
        </is>
      </c>
      <c r="B4" s="23" t="inlineStr">
        <is>
          <t>Legally Binding Request Notification</t>
        </is>
      </c>
      <c r="C4" s="24" t="inlineStr">
        <is>
          <t>When the organisation receives a legally binding request for disclosure of customer PII (from law enforcement, court, regulator, or tax authority), it shall notify the customer without undue delay, unless prohibited by law. Notification shall include the nature of the request, PII categories requested, and legal authority cited — to the extent legally permissible.</t>
        </is>
      </c>
      <c r="D4" s="25" t="n"/>
      <c r="E4" s="5" t="n"/>
      <c r="F4" s="5" t="n"/>
      <c r="G4" s="26" t="n"/>
      <c r="H4" s="5" t="n"/>
    </row>
    <row r="5" ht="40" customHeight="1">
      <c r="A5" s="22" t="inlineStr">
        <is>
          <t>A.2.5.5-02</t>
        </is>
      </c>
      <c r="B5" s="23" t="inlineStr">
        <is>
          <t>Notification Prohibition Handling</t>
        </is>
      </c>
      <c r="C5" s="24" t="inlineStr">
        <is>
          <t>Where notification to the customer is legally prohibited (e.g. by a non-disclosure order), the organisation shall document this constraint, seek legal advice on challenging the prohibition, and notify the customer as soon as the prohibition is lifted.</t>
        </is>
      </c>
      <c r="D5" s="25" t="n"/>
      <c r="E5" s="5" t="n"/>
      <c r="F5" s="5" t="n"/>
      <c r="G5" s="26" t="n"/>
      <c r="H5" s="5" t="n"/>
    </row>
    <row r="6" ht="40" customHeight="1">
      <c r="A6" s="22" t="inlineStr">
        <is>
          <t>A.2.5.6-01</t>
        </is>
      </c>
      <c r="B6" s="23" t="inlineStr">
        <is>
          <t>Non-Legally-Binding Request Refusal</t>
        </is>
      </c>
      <c r="C6" s="24" t="inlineStr">
        <is>
          <t>The organisation shall reject any requests for disclosure of customer PII that are not legally binding. If uncertain whether a request is legally binding, legal advice shall be sought before responding. Refusals shall be documented.</t>
        </is>
      </c>
      <c r="D6" s="25" t="n"/>
      <c r="E6" s="5" t="n"/>
      <c r="F6" s="5" t="n"/>
      <c r="G6" s="26" t="n"/>
      <c r="H6" s="5" t="n"/>
    </row>
    <row r="7" ht="40" customHeight="1">
      <c r="A7" s="22" t="inlineStr">
        <is>
          <t>A.2.5.6-02</t>
        </is>
      </c>
      <c r="B7" s="23" t="inlineStr">
        <is>
          <t>Legally Binding Disclosure Process</t>
        </is>
      </c>
      <c r="C7" s="24" t="inlineStr">
        <is>
          <t>The organisation shall consult with the customer before making any disclosure pursuant to a legally binding request — except where law prohibits notification. Where disclosure proceeds, it shall be limited to the minimum PII necessary to comply with the legal obligation. The disclosure shall be documented in the Processor Disclosure Register.</t>
        </is>
      </c>
      <c r="D7" s="25" t="n"/>
      <c r="E7" s="5" t="n"/>
      <c r="F7" s="5" t="n"/>
      <c r="G7" s="26" t="n"/>
      <c r="H7" s="5" t="n"/>
    </row>
    <row r="8" ht="40" customHeight="1">
      <c r="A8" s="22" t="inlineStr">
        <is>
          <t>A.2.5.6-03</t>
        </is>
      </c>
      <c r="B8" s="23" t="inlineStr">
        <is>
          <t>Contractually Authorised Disclosures</t>
        </is>
      </c>
      <c r="C8" s="24" t="inlineStr">
        <is>
          <t>The organisation may accept and act upon contractually agreed requests for PII disclosures explicitly authorised by the customer (e.g. reporting to specified regulators, sharing with auditors under customer instruction). All such disclosures shall be recorded.</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2026-03-10T18:05:08Z</dcterms:created>
  <dcterms:modified xmlns:dcterms="http://purl.org/dc/terms/" xmlns:xsi="http://www.w3.org/2001/XMLSchema-instance" xsi:type="dcterms:W3CDTF">2026-03-10T18:05:08Z</dcterms:modified>
</cp:coreProperties>
</file>