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b-processor Disclosure" sheetId="3" state="visible" r:id="rId3"/>
    <sheet xmlns:r="http://schemas.openxmlformats.org/officeDocument/2006/relationships" name="Sub-processor Engagement" sheetId="4" state="visible" r:id="rId4"/>
    <sheet xmlns:r="http://schemas.openxmlformats.org/officeDocument/2006/relationships" name="Sub-processor Changes" sheetId="5" state="visible" r:id="rId5"/>
  </sheets>
  <definedNames>
    <definedName name="_xlnm.Print_Area" localSheetId="0">'Executive Summary'!$A$1:$H$63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PRIV-CHK-A.2.5.7-9 — Sub-processor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PRIV-CHK-A.2.5.7-9</t>
        </is>
      </c>
    </row>
    <row r="5">
      <c r="A5" s="3" t="inlineStr">
        <is>
          <t>Source Policy</t>
        </is>
      </c>
      <c r="B5" s="4" t="inlineStr">
        <is>
          <t>PRIV-POL-A.2.5.7-9</t>
        </is>
      </c>
    </row>
    <row r="6">
      <c r="A6" s="3" t="inlineStr">
        <is>
          <t>ISO Controls</t>
        </is>
      </c>
      <c r="B6" s="4" t="inlineStr">
        <is>
          <t>Sub-processor Management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'Dashboard'!G7</f>
        <v/>
      </c>
    </row>
    <row r="14">
      <c r="A14" s="7" t="inlineStr">
        <is>
          <t>Status</t>
        </is>
      </c>
      <c r="B14" s="9">
        <f>IF(Dashboard!H7&gt;0,"INCOMPLETE",IF(Dashboard!G7="N/A","NOT ASSESSED",IF(ISNUMBER(VALUE(SUBSTITUTE(Dashboard!G7,"%",""))),IF(VALUE(SUBSTITUTE(Dashboard!G7,"%",""))&gt;=90,"GREEN",IF(VALUE(SUBSTITUTE(Dashboard!G7,"%",""))&gt;=70,"AMBER","RED")),"NOT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'Dashboard'!B7</f>
        <v/>
      </c>
    </row>
    <row r="18">
      <c r="A18" s="3" t="inlineStr">
        <is>
          <t>Compliant</t>
        </is>
      </c>
      <c r="B18" s="10">
        <f>'Dashboard'!C7</f>
        <v/>
      </c>
    </row>
    <row r="19">
      <c r="A19" s="3" t="inlineStr">
        <is>
          <t>Partial</t>
        </is>
      </c>
      <c r="B19" s="10">
        <f>'Dashboard'!D7</f>
        <v/>
      </c>
    </row>
    <row r="20">
      <c r="A20" s="3" t="inlineStr">
        <is>
          <t>Non-Compliant</t>
        </is>
      </c>
      <c r="B20" s="10">
        <f>'Dashboard'!E7</f>
        <v/>
      </c>
    </row>
    <row r="21">
      <c r="A21" s="3" t="inlineStr">
        <is>
          <t>Not Applicable</t>
        </is>
      </c>
      <c r="B21" s="10">
        <f>'Dashboard'!F7</f>
        <v/>
      </c>
    </row>
    <row r="22">
      <c r="A22" s="3" t="inlineStr">
        <is>
          <t>Unanswered</t>
        </is>
      </c>
      <c r="B22" s="10">
        <f>'Dashboard'!H7</f>
        <v/>
      </c>
    </row>
    <row r="23">
      <c r="A23" s="3" t="inlineStr">
        <is>
          <t>Owner Coverage</t>
        </is>
      </c>
      <c r="B23" s="10">
        <f>IF(Dashboard!B7=0,"N/A",ROUND((COUNTA('Sub-processor Disclosure'!F4:F7)+COUNTA('Sub-processor Engagement'!F4:F8)+COUNTA('Sub-processor Changes'!F4:F7))/Dashboard!B7*100,0)&amp;"%")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Sub-processor Disclosure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Sub-processor Engagement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Sub-processor Changes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1">
      <c r="A31" s="6" t="inlineStr">
        <is>
          <t>CRITICAL ISSUES</t>
        </is>
      </c>
    </row>
    <row r="32">
      <c r="A32" s="11" t="inlineStr">
        <is>
          <t>#</t>
        </is>
      </c>
      <c r="B32" s="11" t="inlineStr">
        <is>
          <t>Issue Description</t>
        </is>
      </c>
      <c r="C32" s="11" t="inlineStr">
        <is>
          <t>Domain</t>
        </is>
      </c>
      <c r="D32" s="11" t="inlineStr">
        <is>
          <t>Owner</t>
        </is>
      </c>
      <c r="E32" s="11" t="inlineStr">
        <is>
          <t>Due Date</t>
        </is>
      </c>
    </row>
    <row r="33">
      <c r="A33" s="4" t="n">
        <v>1</v>
      </c>
      <c r="B33" s="5" t="n"/>
      <c r="C33" s="5" t="n"/>
      <c r="D33" s="5" t="n"/>
      <c r="E33" s="5" t="n"/>
    </row>
    <row r="34">
      <c r="A34" s="4" t="n">
        <v>2</v>
      </c>
      <c r="B34" s="5" t="n"/>
      <c r="C34" s="5" t="n"/>
      <c r="D34" s="5" t="n"/>
      <c r="E34" s="5" t="n"/>
    </row>
    <row r="35">
      <c r="A35" s="4" t="n">
        <v>3</v>
      </c>
      <c r="B35" s="5" t="n"/>
      <c r="C35" s="5" t="n"/>
      <c r="D35" s="5" t="n"/>
      <c r="E35" s="5" t="n"/>
    </row>
    <row r="36">
      <c r="A36" s="4" t="n">
        <v>4</v>
      </c>
      <c r="B36" s="5" t="n"/>
      <c r="C36" s="5" t="n"/>
      <c r="D36" s="5" t="n"/>
      <c r="E36" s="5" t="n"/>
    </row>
    <row r="37">
      <c r="A37" s="4" t="n">
        <v>5</v>
      </c>
      <c r="B37" s="5" t="n"/>
      <c r="C37" s="5" t="n"/>
      <c r="D37" s="5" t="n"/>
      <c r="E37" s="5" t="n"/>
    </row>
    <row r="39">
      <c r="A39" s="6" t="inlineStr">
        <is>
          <t>MANAGEMENT COMMENTARY</t>
        </is>
      </c>
    </row>
    <row r="40" ht="60" customHeight="1">
      <c r="A40" s="12" t="inlineStr">
        <is>
          <t>[Enter management commentary on sub-processor management posture]</t>
        </is>
      </c>
    </row>
    <row r="41"/>
    <row r="42"/>
    <row r="44">
      <c r="A44" s="6" t="inlineStr">
        <is>
          <t>APPROVAL</t>
        </is>
      </c>
    </row>
    <row r="45">
      <c r="A45" s="13" t="inlineStr">
        <is>
          <t>Assessed By</t>
        </is>
      </c>
    </row>
    <row r="46">
      <c r="A46" s="14" t="inlineStr">
        <is>
          <t>Name:</t>
        </is>
      </c>
      <c r="B46" s="5" t="n"/>
    </row>
    <row r="47">
      <c r="A47" s="14" t="inlineStr">
        <is>
          <t>Date:</t>
        </is>
      </c>
      <c r="B47" s="5" t="n"/>
    </row>
    <row r="48">
      <c r="A48" s="14" t="inlineStr">
        <is>
          <t>Signature:</t>
        </is>
      </c>
      <c r="B48" s="5" t="n"/>
    </row>
    <row r="49">
      <c r="A49" s="14" t="inlineStr">
        <is>
          <t>Decision:</t>
        </is>
      </c>
      <c r="B49" s="5" t="n"/>
    </row>
    <row r="51">
      <c r="A51" s="13" t="inlineStr">
        <is>
          <t>Reviewed By (DPO)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Approved By (CEO / CISO)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</sheetData>
  <mergeCells count="12">
    <mergeCell ref="A12:H12"/>
    <mergeCell ref="A39:H39"/>
    <mergeCell ref="A25:H25"/>
    <mergeCell ref="A57:B57"/>
    <mergeCell ref="A31:H31"/>
    <mergeCell ref="A16:H16"/>
    <mergeCell ref="A51:B51"/>
    <mergeCell ref="A45:B45"/>
    <mergeCell ref="A44:H44"/>
    <mergeCell ref="A40:H42"/>
    <mergeCell ref="A1:H1"/>
    <mergeCell ref="A3:B3"/>
  </mergeCells>
  <dataValidations count="1">
    <dataValidation sqref="B49 B55 B61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Sub-processor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Sub-processor Disclosure</t>
        </is>
      </c>
      <c r="B4" s="15">
        <f>COUNTA('Sub-processor Disclosure'!A4:A7)</f>
        <v/>
      </c>
      <c r="C4" s="15">
        <f>COUNTIF('Sub-processor Disclosure'!D4:D7,"Compliant")</f>
        <v/>
      </c>
      <c r="D4" s="15">
        <f>COUNTIF('Sub-processor Disclosure'!D4:D7,"Partial")</f>
        <v/>
      </c>
      <c r="E4" s="15">
        <f>COUNTIF('Sub-processor Disclosure'!D4:D7,"Non-Compliant")</f>
        <v/>
      </c>
      <c r="F4" s="15">
        <f>COUNTIF('Sub-processor Disclosure'!D4:D7,"N/A")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Sub-processor Engagement</t>
        </is>
      </c>
      <c r="B5" s="15">
        <f>COUNTA('Sub-processor Engagement'!A4:A8)</f>
        <v/>
      </c>
      <c r="C5" s="15">
        <f>COUNTIF('Sub-processor Engagement'!D4:D8,"Compliant")</f>
        <v/>
      </c>
      <c r="D5" s="15">
        <f>COUNTIF('Sub-processor Engagement'!D4:D8,"Partial")</f>
        <v/>
      </c>
      <c r="E5" s="15">
        <f>COUNTIF('Sub-processor Engagement'!D4:D8,"Non-Compliant")</f>
        <v/>
      </c>
      <c r="F5" s="15">
        <f>COUNTIF('Sub-processor Engagement'!D4:D8,"N/A")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Sub-processor Changes</t>
        </is>
      </c>
      <c r="B6" s="15">
        <f>COUNTA('Sub-processor Changes'!A4:A7)</f>
        <v/>
      </c>
      <c r="C6" s="15">
        <f>COUNTIF('Sub-processor Changes'!D4:D7,"Compliant")</f>
        <v/>
      </c>
      <c r="D6" s="15">
        <f>COUNTIF('Sub-processor Changes'!D4:D7,"Partial")</f>
        <v/>
      </c>
      <c r="E6" s="15">
        <f>COUNTIF('Sub-processor Changes'!D4:D7,"Non-Compliant")</f>
        <v/>
      </c>
      <c r="F6" s="15">
        <f>COUNTIF('Sub-processor Changes'!D4:D7,"N/A")</f>
        <v/>
      </c>
      <c r="G6" s="15">
        <f>IF((B6-F6)=0,"N/A",ROUND(C6/(B6-F6)*100,1)&amp;"%")</f>
        <v/>
      </c>
      <c r="H6" s="15">
        <f>B6-(C6+D6+E6+F6)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  <c r="F7" s="16">
        <f>SUM(F4:F6)</f>
        <v/>
      </c>
      <c r="G7" s="16">
        <f>IF((B7-F7)=0,"N/A",ROUND(C7/(B7-F7)*100,1)&amp;"%")</f>
        <v/>
      </c>
      <c r="H7" s="16">
        <f>SUM(H4:H6)</f>
        <v/>
      </c>
    </row>
    <row r="9">
      <c r="A9" s="6" t="inlineStr">
        <is>
          <t>COMPLIANCE BY STATUS</t>
        </is>
      </c>
    </row>
    <row r="10">
      <c r="A10" s="3" t="inlineStr">
        <is>
          <t>Compliant</t>
        </is>
      </c>
      <c r="B10" s="17">
        <f>C7</f>
        <v/>
      </c>
      <c r="C10" s="4">
        <f>IF(B7=0,"",ROUND(B10/B7*100,1)&amp;"%")</f>
        <v/>
      </c>
    </row>
    <row r="11">
      <c r="A11" s="3" t="inlineStr">
        <is>
          <t>Partial</t>
        </is>
      </c>
      <c r="B11" s="18">
        <f>D7</f>
        <v/>
      </c>
      <c r="C11" s="4">
        <f>IF(B7=0,"",ROUND(B11/B7*100,1)&amp;"%")</f>
        <v/>
      </c>
    </row>
    <row r="12">
      <c r="A12" s="3" t="inlineStr">
        <is>
          <t>Non-Compliant</t>
        </is>
      </c>
      <c r="B12" s="19">
        <f>E7</f>
        <v/>
      </c>
      <c r="C12" s="4">
        <f>IF(B7=0,"",ROUND(B12/B7*100,1)&amp;"%")</f>
        <v/>
      </c>
    </row>
    <row r="13">
      <c r="A13" s="3" t="inlineStr">
        <is>
          <t>N/A</t>
        </is>
      </c>
      <c r="B13" s="20">
        <f>F7</f>
        <v/>
      </c>
      <c r="C13" s="4">
        <f>IF(B7=0,"",ROUND(B13/B7*100,1)&amp;"%")</f>
        <v/>
      </c>
    </row>
    <row r="15">
      <c r="A15" s="6" t="inlineStr">
        <is>
          <t>TOP GAPS (Manual Entry)</t>
        </is>
      </c>
    </row>
    <row r="16">
      <c r="A16" s="11" t="inlineStr">
        <is>
          <t>Priority</t>
        </is>
      </c>
      <c r="B16" s="11" t="inlineStr">
        <is>
          <t>Domain</t>
        </is>
      </c>
      <c r="C16" s="11" t="inlineStr">
        <is>
          <t>Requirement</t>
        </is>
      </c>
      <c r="D16" s="11" t="inlineStr">
        <is>
          <t>Owner</t>
        </is>
      </c>
      <c r="E16" s="11" t="inlineStr">
        <is>
          <t>Due Date</t>
        </is>
      </c>
      <c r="F16" s="11" t="inlineStr">
        <is>
          <t>Status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8">
      <c r="A28" s="6" t="inlineStr">
        <is>
          <t>COMPLIANCE TREND (Manual Entry)</t>
        </is>
      </c>
    </row>
    <row r="29">
      <c r="A29" s="11" t="inlineStr">
        <is>
          <t>Assessment Date</t>
        </is>
      </c>
      <c r="B29" s="11" t="inlineStr">
        <is>
          <t>Overall %</t>
        </is>
      </c>
      <c r="C29" s="11" t="inlineStr">
        <is>
          <t>Compliant</t>
        </is>
      </c>
      <c r="D29" s="11" t="inlineStr">
        <is>
          <t>Gaps</t>
        </is>
      </c>
      <c r="E29" s="11" t="inlineStr">
        <is>
          <t>Assessor</t>
        </is>
      </c>
      <c r="F29" s="11" t="inlineStr">
        <is>
          <t>Notes</t>
        </is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</sheetData>
  <mergeCells count="4">
    <mergeCell ref="A15:G15"/>
    <mergeCell ref="A1:G1"/>
    <mergeCell ref="A28:G28"/>
    <mergeCell ref="A9:G9"/>
  </mergeCells>
  <dataValidations count="1">
    <dataValidation sqref="F17 F18 F19 F20 F21 F22 F23 F24 F25 F26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Sub-processor Disclosure — Compliance Checklist</t>
        </is>
      </c>
    </row>
    <row r="2">
      <c r="A2" s="21" t="inlineStr">
        <is>
          <t>ISO/IEC 27701:2025 — Controls A.2.5.7-9: Sub-processor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A.2.5.7-01</t>
        </is>
      </c>
      <c r="B4" s="23" t="inlineStr">
        <is>
          <t>Pre-Engagement Disclosure</t>
        </is>
      </c>
      <c r="C4" s="24" t="inlineStr">
        <is>
          <t>Before commencing processing on behalf of a customer, the organisation shall disclose to the customer whether any sub-processors are used to process that customer's PII. No customer processing shall begin without this disclosure.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A.2.5.7-02</t>
        </is>
      </c>
      <c r="B5" s="23" t="inlineStr">
        <is>
          <t>Sub-processor Register</t>
        </is>
      </c>
      <c r="C5" s="24" t="inlineStr">
        <is>
          <t>The DPO shall maintain a Sub-processor Register listing all sub-processors engaged in PII processing on behalf of customers, including: name and contact details; location (country/jurisdiction); nature of processing; categories of PII processed; and applicable customers or services.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A.2.5.7-03</t>
        </is>
      </c>
      <c r="B6" s="23" t="inlineStr">
        <is>
          <t>Register Availability</t>
        </is>
      </c>
      <c r="C6" s="24" t="inlineStr">
        <is>
          <t>The Sub-processor Register shall be made available to customers as part of the processor agreement or as a publicly accessible list. Customers shall be notified of updates per A.2.5.9.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A.2.5.7-04</t>
        </is>
      </c>
      <c r="B7" s="23" t="inlineStr">
        <is>
          <t>Disclosure Documentation</t>
        </is>
      </c>
      <c r="C7" s="24" t="inlineStr">
        <is>
          <t>Disclosure of sub-processor use to customers shall be documented, including the date of disclosure, the sub-processors disclosed, and customer acknowledgment where applicable.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Sub-processor Engagement — Compliance Checklist</t>
        </is>
      </c>
    </row>
    <row r="2">
      <c r="A2" s="21" t="inlineStr">
        <is>
          <t>ISO/IEC 27701:2025 — Controls A.2.5.7-9: Sub-processor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A.2.5.8-01</t>
        </is>
      </c>
      <c r="B4" s="23" t="inlineStr">
        <is>
          <t>Customer Authorisation</t>
        </is>
      </c>
      <c r="C4" s="24" t="inlineStr">
        <is>
          <t>The organisation shall only engage a sub-processor to process customer PII in accordance with the customer contract — i.e., with the customer's specific or general written authorisation. No sub-processor shall be engaged without documented customer authorisation.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A.2.5.8-02</t>
        </is>
      </c>
      <c r="B5" s="23" t="inlineStr">
        <is>
          <t>Sub-processor Agreement Requirements</t>
        </is>
      </c>
      <c r="C5" s="24" t="inlineStr">
        <is>
          <t>Before engaging any sub-processor with access to customer PII, a sub-processor agreement shall be executed imposing the same data protection obligations as those in the organisation's processor agreement with the customer, including: processing only on instruction; appropriate security measures; confidentiality; breach notification; return or deletion of PII; and cooperation with audits.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A.2.5.8-03</t>
        </is>
      </c>
      <c r="B6" s="23" t="inlineStr">
        <is>
          <t>Due Diligence</t>
        </is>
      </c>
      <c r="C6" s="24" t="inlineStr">
        <is>
          <t>A security due diligence assessment of the sub-processor shall be conducted before engagement and periodically thereafter. Due diligence records shall be maintained for the duration of the engagement plus 3 years.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A.2.5.8-04</t>
        </is>
      </c>
      <c r="B7" s="23" t="inlineStr">
        <is>
          <t>Sub-sub-processor Restrictions</t>
        </is>
      </c>
      <c r="C7" s="24" t="inlineStr">
        <is>
          <t>Sub-processor agreements shall restrict the sub-processor from engaging further sub-sub-processors without the organisation's prior written consent, which in turn requires customer authorisation.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A.2.5.8-05</t>
        </is>
      </c>
      <c r="B8" s="23" t="inlineStr">
        <is>
          <t>Processor Liability</t>
        </is>
      </c>
      <c r="C8" s="24" t="inlineStr">
        <is>
          <t>The organisation remains fully liable to customers for the performance of sub-processors' obligations. Sub-processor non-compliance is treated as the organisation's non-compliance for the purposes of the customer contract.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Sub-processor Changes — Compliance Checklist</t>
        </is>
      </c>
    </row>
    <row r="2">
      <c r="A2" s="21" t="inlineStr">
        <is>
          <t>ISO/IEC 27701:2025 — Controls A.2.5.7-9: Sub-processor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A.2.5.9-01</t>
        </is>
      </c>
      <c r="B4" s="23" t="inlineStr">
        <is>
          <t>Change Notification Obligation</t>
        </is>
      </c>
      <c r="C4" s="24" t="inlineStr">
        <is>
          <t>Where the customer contract includes a general written authorisation for sub-processor engagement, the organisation shall notify customers of any intended addition or replacement of sub-processors in advance of the effective date, giving customers the opportunity to object.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A.2.5.9-02</t>
        </is>
      </c>
      <c r="B5" s="23" t="inlineStr">
        <is>
          <t>Notification Period</t>
        </is>
      </c>
      <c r="C5" s="24" t="inlineStr">
        <is>
          <t>The advance notification period for sub-processor changes shall be as specified in the processor agreement (typically minimum 30 days). The notification shall include the identity of the new or replacement sub-processor and the nature of processing to be performed.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A.2.5.9-03</t>
        </is>
      </c>
      <c r="B6" s="23" t="inlineStr">
        <is>
          <t>Objection Handling</t>
        </is>
      </c>
      <c r="C6" s="24" t="inlineStr">
        <is>
          <t>The organisation shall have a documented process for handling customer objections to sub-processor changes, which may include implementing alternative technical measures or allowing the customer to terminate the service without penalty. Objections and their outcomes shall be documented.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A.2.5.9-04</t>
        </is>
      </c>
      <c r="B7" s="23" t="inlineStr">
        <is>
          <t>Change Records</t>
        </is>
      </c>
      <c r="C7" s="24" t="inlineStr">
        <is>
          <t>All sub-processor changes and associated customer notifications, customer responses (objection or no-objection), and outcomes shall be maintained in the Sub-processor Change Register for 3 years.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2026-09-30T11:28:36Z</dcterms:created>
  <dcterms:modified xmlns:dcterms="http://purl.org/dc/terms/" xmlns:xsi="http://www.w3.org/2001/XMLSchema-instance" xsi:type="dcterms:W3CDTF">2026-09-30T11:28:36Z</dcterms:modified>
</cp:coreProperties>
</file>